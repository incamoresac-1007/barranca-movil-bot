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5aa7e99e8841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S" sheetId="1" r:id="R9afd28c0542b44d4"/>
    <x:sheet xmlns:r="http://schemas.openxmlformats.org/officeDocument/2006/relationships" name="CONDUCTORES" sheetId="2" r:id="R0db9dd1b848b46a2"/>
    <x:sheet xmlns:r="http://schemas.openxmlformats.org/officeDocument/2006/relationships" name="SERVICIOS" sheetId="3" r:id="Rb3e5c5dcbc724f2a"/>
    <x:sheet xmlns:r="http://schemas.openxmlformats.org/officeDocument/2006/relationships" name="IDENTIDADES" sheetId="4" r:id="R1a6d0acf5a1b4998"/>
    <x:sheet xmlns:r="http://schemas.openxmlformats.org/officeDocument/2006/relationships" name="ENCOMIENDAS" sheetId="5" r:id="R89a302ecfba94c31"/>
    <x:sheet xmlns:r="http://schemas.openxmlformats.org/officeDocument/2006/relationships" name="TURISMO" sheetId="6" r:id="Rc0cf61abecd04161"/>
    <x:sheet xmlns:r="http://schemas.openxmlformats.org/officeDocument/2006/relationships" name="ALERTAS" sheetId="7" r:id="R3c790444cb84471d"/>
    <x:sheet xmlns:r="http://schemas.openxmlformats.org/officeDocument/2006/relationships" name="DASHBOARD" sheetId="8" r:id="R723cc342a6a24790"/>
    <x:sheet xmlns:r="http://schemas.openxmlformats.org/officeDocument/2006/relationships" name="CONFIG" sheetId="9" r:id="R77767f0482474537"/>
    <x:sheet xmlns:r="http://schemas.openxmlformats.org/officeDocument/2006/relationships" name="APPS_SCRIPT" sheetId="10" r:id="R0cdfd987ee734466"/>
    <x:sheet xmlns:r="http://schemas.openxmlformats.org/officeDocument/2006/relationships" name="README" sheetId="11" r:id="Rbf968368c137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6">
    <x:font>
      <x:sz val="11"/>
      <x:name val="Carlito"/>
    </x:font>
    <x:font>
      <x:b/>
      <x:sz val="16"/>
      <x:color rgb="FFFFFF"/>
      <x:name val="Carlito"/>
    </x:font>
    <x:font>
      <x:sz val="10"/>
      <x:color rgb="111827"/>
      <x:name val="Carlito"/>
    </x:font>
    <x:font>
      <x:b/>
      <x:sz val="11"/>
      <x:color rgb="FFFFFF"/>
      <x:name val="Carlito"/>
    </x:font>
    <x:font>
      <x:b/>
      <x:sz val="20"/>
      <x:color rgb="111827"/>
      <x:name val="Carlito"/>
    </x:font>
    <x:font>
      <x:sz val="9"/>
      <x:name val="Consolas"/>
    </x:font>
  </x:fonts>
  <x:fills count="1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2E8F0"/>
      </x:patternFill>
    </x:fill>
    <x:fill>
      <x:patternFill patternType="solid">
        <x:fgColor rgb="059669"/>
      </x:patternFill>
    </x:fill>
    <x:fill>
      <x:patternFill patternType="solid">
        <x:fgColor rgb="2563EB"/>
      </x:patternFill>
    </x:fill>
    <x:fill>
      <x:patternFill patternType="solid">
        <x:fgColor rgb="7C3AED"/>
      </x:patternFill>
    </x:fill>
    <x:fill>
      <x:patternFill patternType="solid">
        <x:fgColor rgb="D97706"/>
      </x:patternFill>
    </x:fill>
    <x:fill>
      <x:patternFill patternType="solid">
        <x:fgColor rgb="0891B2"/>
      </x:patternFill>
    </x:fill>
    <x:fill>
      <x:patternFill patternType="solid">
        <x:fgColor rgb="DC2626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10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horizontal="center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3" fillId="8" borderId="1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0" xfId="0" applyNumberFormat="1" applyFont="1" applyFill="1" applyBorder="1" applyAlignment="1">
      <x:alignment horizont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4" fillId="10" borderId="1" xfId="0" applyNumberFormat="1" applyFont="1" applyFill="1" applyBorder="1"/>
    <x:xf numFmtId="0" fontId="4" fillId="10" borderId="1" xfId="0" applyNumberFormat="1" applyFont="1" applyFill="1" applyBorder="1" applyAlignment="1">
      <x:alignment horizont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1" xfId="0" applyNumberFormat="1" applyFont="1" applyFill="1" applyBorder="1" applyAlignment="1">
      <x:alignment wrapText="0"/>
    </x:xf>
  </x:cellXfs>
  <x:cellStyles count="1">
    <x:cellStyle name="Normal" xfId="0"/>
  </x:cellStyles>
  <x:dxfs count="4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E40AF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20297c5a8d4244" /><Relationship Type="http://schemas.openxmlformats.org/officeDocument/2006/relationships/theme" Target="/xl/theme/theme1.xml" Id="Re437591444094173" /><Relationship Type="http://schemas.openxmlformats.org/officeDocument/2006/relationships/sharedStrings" Target="/xl/sharedStrings.xml" Id="R3259671e9658484f" /><Relationship Type="http://schemas.openxmlformats.org/officeDocument/2006/relationships/worksheet" Target="/xl/worksheets/sheet1.xml" Id="R9afd28c0542b44d4" /><Relationship Type="http://schemas.openxmlformats.org/officeDocument/2006/relationships/worksheet" Target="/xl/worksheets/sheet2.xml" Id="R0db9dd1b848b46a2" /><Relationship Type="http://schemas.openxmlformats.org/officeDocument/2006/relationships/worksheet" Target="/xl/worksheets/sheet3.xml" Id="Rb3e5c5dcbc724f2a" /><Relationship Type="http://schemas.openxmlformats.org/officeDocument/2006/relationships/worksheet" Target="/xl/worksheets/sheet4.xml" Id="R1a6d0acf5a1b4998" /><Relationship Type="http://schemas.openxmlformats.org/officeDocument/2006/relationships/worksheet" Target="/xl/worksheets/sheet5.xml" Id="R89a302ecfba94c31" /><Relationship Type="http://schemas.openxmlformats.org/officeDocument/2006/relationships/worksheet" Target="/xl/worksheets/sheet6.xml" Id="Rc0cf61abecd04161" /><Relationship Type="http://schemas.openxmlformats.org/officeDocument/2006/relationships/worksheet" Target="/xl/worksheets/sheet7.xml" Id="R3c790444cb84471d" /><Relationship Type="http://schemas.openxmlformats.org/officeDocument/2006/relationships/worksheet" Target="/xl/worksheets/sheet8.xml" Id="R723cc342a6a24790" /><Relationship Type="http://schemas.openxmlformats.org/officeDocument/2006/relationships/worksheet" Target="/xl/worksheets/sheet9.xml" Id="R77767f0482474537" /><Relationship Type="http://schemas.openxmlformats.org/officeDocument/2006/relationships/worksheet" Target="/xl/worksheets/sheet10.xml" Id="R0cdfd987ee734466" /><Relationship Type="http://schemas.openxmlformats.org/officeDocument/2006/relationships/worksheet" Target="/xl/worksheets/sheet11.xml" Id="Rbf968368c13744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bfbe4bbe304d79" /><Relationship Type="http://schemas.openxmlformats.org/officeDocument/2006/relationships/chart" Target="/xl/drawings/charts/chart2.xml" Id="R2516a0eb49f641f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Servicios por estado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'DASHBOARD'!$A$9:$A$15</c:f>
              <c:strCache>
                <c:ptCount val="0"/>
              </c:strCache>
            </c:strRef>
          </c:cat>
          <c:val>
            <c:numRef>
              <c:f>'DASHBOARD'!$B$9:$B$15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Servicios por tipo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'DASHBOARD'!$D$9:$D$12</c:f>
              <c:strCache>
                <c:ptCount val="0"/>
              </c:strCache>
            </c:strRef>
          </c:cat>
          <c:val>
            <c:numRef>
              <c:f>'DASHBOARD'!$E$9:$E$12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16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bfbe4bbe304d79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16a0eb49f641f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ductoresTable" displayName="ConductoresTable" ref="A4:M9" headerRowCount="1">
  <x:tableColumns count="13">
    <x:tableColumn id="1" name="ID_CONDUCTOR"/>
    <x:tableColumn id="2" name="CONDUCTOR"/>
    <x:tableColumn id="3" name="PLACA"/>
    <x:tableColumn id="4" name="TELEFONO"/>
    <x:tableColumn id="5" name="ESTADO"/>
    <x:tableColumn id="6" name="SERVICIOS_HOY"/>
    <x:tableColumn id="7" name="ASIGNADOS"/>
    <x:tableColumn id="8" name="FINALIZADOS"/>
    <x:tableColumn id="9" name="CANCELADOS"/>
    <x:tableColumn id="10" name="CALIFICACION_PROMEDIO"/>
    <x:tableColumn id="11" name="ZONA_FRECUENTE"/>
    <x:tableColumn id="12" name="ULTIMO_SERVICIO"/>
    <x:tableColumn id="13" name="OBSERVACION"/>
  </x:tableColumns>
  <x:tableStyleInfo name="TableStyleMedium2" showRowStripes="1"/>
</x:table>
</file>

<file path=xl/tables/table2.xml><?xml version="1.0" encoding="utf-8"?>
<x:table xmlns:x="http://schemas.openxmlformats.org/spreadsheetml/2006/main" id="2" name="ServiciosTable" displayName="ServiciosTable" ref="A4:Z2000" headerRowCount="1">
  <x:tableColumns count="26">
    <x:tableColumn id="1" name="ID_SERVICIO"/>
    <x:tableColumn id="2" name="FECHA"/>
    <x:tableColumn id="3" name="HORA"/>
    <x:tableColumn id="4" name="ESTADO"/>
    <x:tableColumn id="5" name="TIPO_SERVICIO"/>
    <x:tableColumn id="6" name="CANAL"/>
    <x:tableColumn id="7" name="CLIENTE"/>
    <x:tableColumn id="8" name="TELEFONO"/>
    <x:tableColumn id="9" name="DNI_CLIENTE"/>
    <x:tableColumn id="10" name="ORIGEN"/>
    <x:tableColumn id="11" name="DESTINO"/>
    <x:tableColumn id="12" name="REFERENCIA_ORIGEN"/>
    <x:tableColumn id="13" name="REFERENCIA_DESTINO"/>
    <x:tableColumn id="14" name="RUTA"/>
    <x:tableColumn id="15" name="CONDUCTOR"/>
    <x:tableColumn id="16" name="PLACA"/>
    <x:tableColumn id="17" name="TELEFONO_CONDUCTOR"/>
    <x:tableColumn id="18" name="PAGO"/>
    <x:tableColumn id="19" name="TARIFA"/>
    <x:tableColumn id="20" name="PRIORIDAD"/>
    <x:tableColumn id="21" name="ALERTA"/>
    <x:tableColumn id="22" name="OBSERVACION"/>
    <x:tableColumn id="23" name="ULTIMA_ACTUALIZACION"/>
    <x:tableColumn id="24" name="HORA_CONFIRMACION"/>
    <x:tableColumn id="25" name="HORA_ASIGNACION"/>
    <x:tableColumn id="26" name="MINUTOS_ESPERA"/>
  </x:tableColumns>
  <x:tableStyleInfo name="TableStyleMedium2" showRowStripes="1"/>
</x:table>
</file>

<file path=xl/tables/table3.xml><?xml version="1.0" encoding="utf-8"?>
<x:table xmlns:x="http://schemas.openxmlformats.org/spreadsheetml/2006/main" id="3" name="IdentidadesTable" displayName="IdentidadesTable" ref="A4:J2000" headerRowCount="1">
  <x:tableColumns count="10">
    <x:tableColumn id="1" name="ID_SERVICIO"/>
    <x:tableColumn id="2" name="TIPO_SERVICIO"/>
    <x:tableColumn id="3" name="ROL"/>
    <x:tableColumn id="4" name="NOMBRE"/>
    <x:tableColumn id="5" name="DNI"/>
    <x:tableColumn id="6" name="TELEFONO"/>
    <x:tableColumn id="7" name="VALIDADO"/>
    <x:tableColumn id="8" name="OBSERVACION"/>
    <x:tableColumn id="9" name="FECHA_REGISTRO"/>
    <x:tableColumn id="10" name="CANAL_ORIGEN"/>
  </x:tableColumns>
  <x:tableStyleInfo name="TableStyleMedium2" showRowStripes="1"/>
</x:table>
</file>

<file path=xl/tables/table4.xml><?xml version="1.0" encoding="utf-8"?>
<x:table xmlns:x="http://schemas.openxmlformats.org/spreadsheetml/2006/main" id="4" name="EncomiendasTable" displayName="EncomiendasTable" ref="A4:N2000" headerRowCount="1">
  <x:tableColumns count="14">
    <x:tableColumn id="1" name="ID_SERVICIO"/>
    <x:tableColumn id="2" name="DESCRIPCION"/>
    <x:tableColumn id="3" name="CANTIDAD_BULTOS"/>
    <x:tableColumn id="4" name="TIPO_CARGA"/>
    <x:tableColumn id="5" name="PESO_UNITARIO_KG"/>
    <x:tableColumn id="6" name="PESO_TOTAL_KG"/>
    <x:tableColumn id="7" name="FOTO_RECIBIDA"/>
    <x:tableColumn id="8" name="RIESGO"/>
    <x:tableColumn id="9" name="CUIDADO_ESPECIAL"/>
    <x:tableColumn id="10" name="VALIDACION_OPERADOR"/>
    <x:tableColumn id="11" name="DESTINATARIO"/>
    <x:tableColumn id="12" name="DNI_DESTINATARIO"/>
    <x:tableColumn id="13" name="OBSERVACION"/>
    <x:tableColumn id="14" name="ULTIMA_ACTUALIZACION"/>
  </x:tableColumns>
  <x:tableStyleInfo name="TableStyleMedium2" showRowStripes="1"/>
</x:table>
</file>

<file path=xl/tables/table5.xml><?xml version="1.0" encoding="utf-8"?>
<x:table xmlns:x="http://schemas.openxmlformats.org/spreadsheetml/2006/main" id="5" name="TurismoTable" displayName="TurismoTable" ref="A4:O2000" headerRowCount="1">
  <x:tableColumns count="15">
    <x:tableColumn id="1" name="ID_SERVICIO"/>
    <x:tableColumn id="2" name="DESTINO_TURISTICO"/>
    <x:tableColumn id="3" name="MODALIDAD"/>
    <x:tableColumn id="4" name="FECHA_TOUR"/>
    <x:tableColumn id="5" name="HORA_RECOJO"/>
    <x:tableColumn id="6" name="CANTIDAD_PERSONAS"/>
    <x:tableColumn id="7" name="TIPO_GRUPO"/>
    <x:tableColumn id="8" name="PASAJEROS_RESUMEN"/>
    <x:tableColumn id="9" name="DNI_COMPLETO"/>
    <x:tableColumn id="10" name="PRECIO_REFERENCIAL"/>
    <x:tableColumn id="11" name="NOTA_RUTA"/>
    <x:tableColumn id="12" name="CONDUCTOR"/>
    <x:tableColumn id="13" name="PLACA"/>
    <x:tableColumn id="14" name="ESTADO"/>
    <x:tableColumn id="15" name="OBSERVACION"/>
  </x:tableColumns>
  <x:tableStyleInfo name="TableStyleMedium2" showRowStripes="1"/>
</x:table>
</file>

<file path=xl/tables/table6.xml><?xml version="1.0" encoding="utf-8"?>
<x:table xmlns:x="http://schemas.openxmlformats.org/spreadsheetml/2006/main" id="6" name="AlertasTable" displayName="AlertasTable" ref="A4:J2000" headerRowCount="1">
  <x:tableColumns count="10">
    <x:tableColumn id="1" name="ID_ALERTA"/>
    <x:tableColumn id="2" name="ID_SERVICIO"/>
    <x:tableColumn id="3" name="FECHA_HORA"/>
    <x:tableColumn id="4" name="TIPO_ALERTA"/>
    <x:tableColumn id="5" name="PRIORIDAD"/>
    <x:tableColumn id="6" name="DESCRIPCION"/>
    <x:tableColumn id="7" name="REQUIERE_ACCION"/>
    <x:tableColumn id="8" name="ESTADO_ALERTA"/>
    <x:tableColumn id="9" name="RESPONSABLE"/>
    <x:tableColumn id="10" name="CIERR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de7255d8cea4b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15fcea0db446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f5ff1f2c0e42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5a75970afc466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a8fb8b57d3940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76335c45c54a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dcc9e894d079457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4" hidden="0" customWidth="1"/>
    <x:col min="4" max="4" width="14" hidden="0" customWidth="1"/>
    <x:col min="5" max="5" width="18" hidden="0" customWidth="1"/>
    <x:col min="6" max="6" width="24" hidden="0" customWidth="1"/>
    <x:col min="7" max="7" width="22" hidden="0" customWidth="1"/>
    <x:col min="8" max="8" width="18" hidden="0" customWidth="1"/>
  </x:cols>
  <x:sheetData>
    <x:row r="1" ht="30" customHeight="1">
      <x:c r="A1" s="5" t="str">
        <x:v>Catálogos y listas de validación</x:v>
      </x:c>
    </x:row>
    <x:row r="2" ht="22" customHeight="1">
      <x:c r="A2" s="13" t="str">
        <x:v>No borrar: estas listas alimentan los desplegables del sistema.</x:v>
      </x:c>
    </x:row>
    <x:row r="4">
      <x:c r="A4" s="21" t="str">
        <x:v>ESTADOS_SERVICIO</x:v>
      </x:c>
      <x:c r="B4" s="21" t="str">
        <x:v>TIPOS_SERVICIO</x:v>
      </x:c>
      <x:c r="C4" s="21" t="str">
        <x:v>CANALES</x:v>
      </x:c>
      <x:c r="D4" s="21" t="str">
        <x:v>PRIORIDADES</x:v>
      </x:c>
      <x:c r="E4" s="21" t="str">
        <x:v>ESTADO_CONDUCTOR</x:v>
      </x:c>
      <x:c r="F4" s="21" t="str">
        <x:v>TIPOS_ALERTA</x:v>
      </x:c>
      <x:c r="G4" s="21" t="str">
        <x:v>ROLES_IDENTIDAD</x:v>
      </x:c>
      <x:c r="H4" s="21" t="str">
        <x:v>RIESGOS</x:v>
      </x:c>
    </x:row>
    <x:row r="5">
      <x:c r="A5" t="str">
        <x:v>INICIADO</x:v>
      </x:c>
      <x:c r="B5" t="str">
        <x:v>TAXI</x:v>
      </x:c>
      <x:c r="C5" t="str">
        <x:v>TEXTO</x:v>
      </x:c>
      <x:c r="D5" t="str">
        <x:v>BAJA</x:v>
      </x:c>
      <x:c r="E5" t="str">
        <x:v>ACTIVO</x:v>
      </x:c>
      <x:c r="F5" t="str">
        <x:v>AUDIO_MAL_TRANSCRITO</x:v>
      </x:c>
      <x:c r="G5" t="str">
        <x:v>CLIENTE</x:v>
      </x:c>
      <x:c r="H5" t="str">
        <x:v>NORMAL</x:v>
      </x:c>
    </x:row>
    <x:row r="6">
      <x:c r="A6" t="str">
        <x:v>EN_CAPTURA</x:v>
      </x:c>
      <x:c r="B6" t="str">
        <x:v>COLECTIVO</x:v>
      </x:c>
      <x:c r="C6" t="str">
        <x:v>AUDIO</x:v>
      </x:c>
      <x:c r="D6" t="str">
        <x:v>MEDIA</x:v>
      </x:c>
      <x:c r="E6" t="str">
        <x:v>PAUSADO</x:v>
      </x:c>
      <x:c r="F6" t="str">
        <x:v>DIRECCION_AMBIGUA</x:v>
      </x:c>
      <x:c r="G6" t="str">
        <x:v>PASAJERO_PRINCIPAL</x:v>
      </x:c>
      <x:c r="H6" t="str">
        <x:v>BEBIDAS_LIQUIDO</x:v>
      </x:c>
    </x:row>
    <x:row r="7">
      <x:c r="A7" t="str">
        <x:v>CONFIRMADO_CLIENTE</x:v>
      </x:c>
      <x:c r="B7" t="str">
        <x:v>ENCOMIENDA</x:v>
      </x:c>
      <x:c r="C7" t="str">
        <x:v>UBICACION</x:v>
      </x:c>
      <x:c r="D7" t="str">
        <x:v>ALTA</x:v>
      </x:c>
      <x:c r="E7" t="str">
        <x:v>FUERA_DE_HORARIO</x:v>
      </x:c>
      <x:c r="F7" t="str">
        <x:v>CARGA_RIESGOSA</x:v>
      </x:c>
      <x:c r="G7" t="str">
        <x:v>PASAJERO_ADICIONAL</x:v>
      </x:c>
      <x:c r="H7" t="str">
        <x:v>CARGA_RIESGOSA</x:v>
      </x:c>
    </x:row>
    <x:row r="8">
      <x:c r="A8" t="str">
        <x:v>PENDIENTE_CONDUCTOR</x:v>
      </x:c>
      <x:c r="B8" t="str">
        <x:v>TURISMO</x:v>
      </x:c>
      <x:c r="C8" t="str">
        <x:v>IMAGEN</x:v>
      </x:c>
      <x:c r="D8" t="str">
        <x:v>CRITICA</x:v>
      </x:c>
      <x:c r="E8" t="str">
        <x:v>INACTIVO</x:v>
      </x:c>
      <x:c r="F8" t="str">
        <x:v>DNI_DUDOSO</x:v>
      </x:c>
      <x:c r="G8" t="str">
        <x:v>DESTINATARIO</x:v>
      </x:c>
      <x:c r="H8" t="str">
        <x:v>FRAGIL</x:v>
      </x:c>
    </x:row>
    <x:row r="9">
      <x:c r="A9" t="str">
        <x:v>ASIGNADO</x:v>
      </x:c>
      <x:c r="B9" t="str"/>
      <x:c r="C9" t="str"/>
      <x:c r="D9" t="str"/>
      <x:c r="E9" t="str"/>
      <x:c r="F9" t="str">
        <x:v>SIN_CONDUCTOR</x:v>
      </x:c>
      <x:c r="G9" t="str">
        <x:v>REMITENTE</x:v>
      </x:c>
      <x:c r="H9" t="str">
        <x:v>PESADO</x:v>
      </x:c>
    </x:row>
    <x:row r="10">
      <x:c r="A10" t="str">
        <x:v>EN_CURSO</x:v>
      </x:c>
      <x:c r="B10" t="str"/>
      <x:c r="C10" t="str"/>
      <x:c r="D10" t="str"/>
      <x:c r="E10" t="str"/>
      <x:c r="F10" t="str">
        <x:v>CANCELACION_CLIENTE</x:v>
      </x:c>
      <x:c r="G10" t="str">
        <x:v>CONDUCTOR</x:v>
      </x:c>
      <x:c r="H10" t="str">
        <x:v>A_COORDINAR</x:v>
      </x:c>
    </x:row>
    <x:row r="11">
      <x:c r="A11" t="str">
        <x:v>FINALIZADO</x:v>
      </x:c>
      <x:c r="B11" t="str"/>
      <x:c r="C11" t="str"/>
      <x:c r="D11" t="str"/>
      <x:c r="E11" t="str"/>
      <x:c r="F11" t="str">
        <x:v>TURISMO_SIN_DNI</x:v>
      </x:c>
      <x:c r="G11" t="str"/>
      <x:c r="H11" t="str"/>
    </x:row>
    <x:row r="12">
      <x:c r="A12" t="str">
        <x:v>CANCELADO</x:v>
      </x:c>
      <x:c r="B12" t="str"/>
      <x:c r="C12" t="str"/>
      <x:c r="D12" t="str"/>
      <x:c r="E12" t="str"/>
      <x:c r="F12" t="str">
        <x:v>FUERA_DE_HORARIO</x:v>
      </x:c>
      <x:c r="G12" t="str"/>
      <x:c r="H12" t="str"/>
    </x:row>
    <x:row r="13">
      <x:c r="A13" t="str">
        <x:v>OBSERVADO</x:v>
      </x:c>
      <x:c r="B13" t="str"/>
      <x:c r="C13" t="str"/>
      <x:c r="D13" t="str"/>
      <x:c r="E13" t="str"/>
      <x:c r="F13" t="str">
        <x:v>CARGA_ESPECIAL</x:v>
      </x:c>
      <x:c r="G13" t="str"/>
      <x:c r="H13" t="str"/>
    </x:row>
    <x:row r="14">
      <x:c r="A14" t="str">
        <x:v>SIN_CONDUCTOR</x:v>
      </x:c>
      <x:c r="B14" t="str"/>
      <x:c r="C14" t="str"/>
      <x:c r="D14" t="str"/>
      <x:c r="E14" t="str"/>
      <x:c r="F14" t="str"/>
      <x:c r="G14" t="str"/>
      <x:c r="H14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4" hidden="0" customWidth="1"/>
    <x:col min="7" max="7" width="12" hidden="0" customWidth="1"/>
    <x:col min="8" max="8" width="14" hidden="0" customWidth="1"/>
    <x:col min="9" max="9" width="14" hidden="0" customWidth="1"/>
    <x:col min="10" max="10" width="20" hidden="0" customWidth="1"/>
    <x:col min="11" max="11" width="22" hidden="0" customWidth="1"/>
    <x:col min="12" max="12" width="22" hidden="0" customWidth="1"/>
    <x:col min="13" max="13" width="30" hidden="0" customWidth="1"/>
  </x:cols>
  <x:sheetData>
    <x:row r="1" ht="30" customHeight="1">
      <x:c r="A1" s="5" t="str">
        <x:v>Conductores registrados</x:v>
      </x:c>
    </x:row>
    <x:row r="2" ht="22" customHeight="1">
      <x:c r="A2" s="13" t="str">
        <x:v>Base inicial de conductores activos para Barranca Móvil.</x:v>
      </x:c>
    </x:row>
    <x:row r="4">
      <x:c r="A4" s="30" t="str">
        <x:v>ID_CONDUCTOR</x:v>
      </x:c>
      <x:c r="B4" s="30" t="str">
        <x:v>CONDUCTOR</x:v>
      </x:c>
      <x:c r="C4" s="30" t="str">
        <x:v>PLACA</x:v>
      </x:c>
      <x:c r="D4" s="30" t="str">
        <x:v>TELEFONO</x:v>
      </x:c>
      <x:c r="E4" s="30" t="str">
        <x:v>ESTADO</x:v>
      </x:c>
      <x:c r="F4" s="30" t="str">
        <x:v>SERVICIOS_HOY</x:v>
      </x:c>
      <x:c r="G4" s="30" t="str">
        <x:v>ASIGNADOS</x:v>
      </x:c>
      <x:c r="H4" s="30" t="str">
        <x:v>FINALIZADOS</x:v>
      </x:c>
      <x:c r="I4" s="30" t="str">
        <x:v>CANCELADOS</x:v>
      </x:c>
      <x:c r="J4" s="30" t="str">
        <x:v>CALIFICACION_PROMEDIO</x:v>
      </x:c>
      <x:c r="K4" s="30" t="str">
        <x:v>ZONA_FRECUENTE</x:v>
      </x:c>
      <x:c r="L4" s="30" t="str">
        <x:v>ULTIMO_SERVICIO</x:v>
      </x:c>
      <x:c r="M4" s="30" t="str">
        <x:v>OBSERVACION</x:v>
      </x:c>
    </x:row>
    <x:row r="5">
      <x:c r="A5" t="str">
        <x:v>C001</x:v>
      </x:c>
      <x:c r="B5" t="str">
        <x:v>Adriel Urpeque</x:v>
      </x:c>
      <x:c r="C5" t="str">
        <x:v>AYH-643</x:v>
      </x:c>
      <x:c r="D5" t="str">
        <x:v>992995140</x:v>
      </x:c>
      <x:c r="E5" t="str">
        <x:v>ACTIVO</x:v>
      </x:c>
      <x:c r="F5" t="n">
        <x:v>0</x:v>
      </x:c>
      <x:c r="G5" t="n">
        <x:v>0</x:v>
      </x:c>
      <x:c r="H5" t="n">
        <x:v>0</x:v>
      </x:c>
      <x:c r="I5" t="n">
        <x:v>0</x:v>
      </x:c>
      <x:c r="J5" t="str"/>
      <x:c r="K5" t="str"/>
      <x:c r="L5" t="str"/>
      <x:c r="M5" t="str"/>
    </x:row>
    <x:row r="6">
      <x:c r="A6" t="str">
        <x:v>C002</x:v>
      </x:c>
      <x:c r="B6" t="str">
        <x:v>Christian Chinchay</x:v>
      </x:c>
      <x:c r="C6" t="str">
        <x:v>APS-359</x:v>
      </x:c>
      <x:c r="D6" t="str">
        <x:v>901258690</x:v>
      </x:c>
      <x:c r="E6" t="str">
        <x:v>ACTIVO</x:v>
      </x:c>
      <x:c r="F6" t="n">
        <x:v>0</x:v>
      </x:c>
      <x:c r="G6" t="n">
        <x:v>0</x:v>
      </x:c>
      <x:c r="H6" t="n">
        <x:v>0</x:v>
      </x:c>
      <x:c r="I6" t="n">
        <x:v>0</x:v>
      </x:c>
      <x:c r="J6" t="str"/>
      <x:c r="K6" t="str"/>
      <x:c r="L6" t="str"/>
      <x:c r="M6" t="str"/>
    </x:row>
    <x:row r="7">
      <x:c r="A7" t="str">
        <x:v>C003</x:v>
      </x:c>
      <x:c r="B7" t="str">
        <x:v>Carlos Álvarez</x:v>
      </x:c>
      <x:c r="C7" t="str">
        <x:v>AXG-557</x:v>
      </x:c>
      <x:c r="D7" t="str">
        <x:v>900817214</x:v>
      </x:c>
      <x:c r="E7" t="str">
        <x:v>ACTIVO</x:v>
      </x:c>
      <x:c r="F7" t="n">
        <x:v>0</x:v>
      </x:c>
      <x:c r="G7" t="n">
        <x:v>0</x:v>
      </x:c>
      <x:c r="H7" t="n">
        <x:v>0</x:v>
      </x:c>
      <x:c r="I7" t="n">
        <x:v>0</x:v>
      </x:c>
      <x:c r="J7" t="str"/>
      <x:c r="K7" t="str"/>
      <x:c r="L7" t="str"/>
      <x:c r="M7" t="str"/>
    </x:row>
    <x:row r="8">
      <x:c r="A8" t="str">
        <x:v>C004</x:v>
      </x:c>
      <x:c r="B8" t="str">
        <x:v>Fernando Urpeque</x:v>
      </x:c>
      <x:c r="C8" t="str">
        <x:v>H3D-309</x:v>
      </x:c>
      <x:c r="D8" t="str">
        <x:v>936882776</x:v>
      </x:c>
      <x:c r="E8" t="str">
        <x:v>ACTIVO</x:v>
      </x:c>
      <x:c r="F8" t="n">
        <x:v>0</x:v>
      </x:c>
      <x:c r="G8" t="n">
        <x:v>0</x:v>
      </x:c>
      <x:c r="H8" t="n">
        <x:v>0</x:v>
      </x:c>
      <x:c r="I8" t="n">
        <x:v>0</x:v>
      </x:c>
      <x:c r="J8" t="str"/>
      <x:c r="K8" t="str"/>
      <x:c r="L8" t="str"/>
      <x:c r="M8" t="str"/>
    </x:row>
    <x:row r="9">
      <x:c r="A9" t="str">
        <x:v>C005</x:v>
      </x:c>
      <x:c r="B9" t="str">
        <x:v>Marino Solorzano</x:v>
      </x:c>
      <x:c r="C9" t="str">
        <x:v>BTE-605</x:v>
      </x:c>
      <x:c r="D9" t="str">
        <x:v>940197110</x:v>
      </x:c>
      <x:c r="E9" t="str">
        <x:v>ACTIVO</x:v>
      </x:c>
      <x:c r="F9" t="n">
        <x:v>0</x:v>
      </x:c>
      <x:c r="G9" t="n">
        <x:v>0</x:v>
      </x:c>
      <x:c r="H9" t="n">
        <x:v>0</x:v>
      </x:c>
      <x:c r="I9" t="n">
        <x:v>0</x:v>
      </x:c>
      <x:c r="J9" t="str"/>
      <x:c r="K9" t="str"/>
      <x:c r="L9" t="str"/>
      <x:c r="M9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fde7255d8cea4b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22" hidden="0" customWidth="1"/>
    <x:col min="5" max="5" width="16" hidden="0" customWidth="1"/>
    <x:col min="6" max="6" width="12" hidden="0" customWidth="1"/>
    <x:col min="7" max="7" width="22" hidden="0" customWidth="1"/>
    <x:col min="8" max="8" width="14" hidden="0" customWidth="1"/>
    <x:col min="9" max="9" width="14" hidden="0" customWidth="1"/>
    <x:col min="10" max="10" width="34" hidden="0" customWidth="1"/>
    <x:col min="11" max="11" width="34" hidden="0" customWidth="1"/>
    <x:col min="12" max="12" width="22" hidden="0" customWidth="1"/>
    <x:col min="13" max="13" width="22" hidden="0" customWidth="1"/>
    <x:col min="14" max="14" width="24" hidden="0" customWidth="1"/>
    <x:col min="15" max="15" width="22" hidden="0" customWidth="1"/>
    <x:col min="16" max="16" width="12" hidden="0" customWidth="1"/>
    <x:col min="17" max="17" width="16" hidden="0" customWidth="1"/>
    <x:col min="18" max="18" width="14" hidden="0" customWidth="1"/>
    <x:col min="19" max="19" width="14" hidden="0" customWidth="1"/>
    <x:col min="20" max="20" width="14" hidden="0" customWidth="1"/>
    <x:col min="21" max="21" width="22" hidden="0" customWidth="1"/>
    <x:col min="22" max="22" width="36" hidden="0" customWidth="1"/>
    <x:col min="23" max="23" width="20" hidden="0" customWidth="1"/>
    <x:col min="24" max="24" width="16" hidden="0" customWidth="1"/>
    <x:col min="25" max="25" width="16" hidden="0" customWidth="1"/>
    <x:col min="26" max="26" width="16" hidden="0" customWidth="1"/>
  </x:cols>
  <x:sheetData>
    <x:row r="1" ht="30" customHeight="1">
      <x:c r="A1" s="5" t="str">
        <x:v>Servicios operativos</x:v>
      </x:c>
    </x:row>
    <x:row r="2" ht="22" customHeight="1">
      <x:c r="A2" s="13" t="str">
        <x:v>Registro principal en tiempo real: cada fila representa una solicitud.</x:v>
      </x:c>
    </x:row>
    <x:row r="4">
      <x:c r="A4" s="40" t="str">
        <x:v>ID_SERVICIO</x:v>
      </x:c>
      <x:c r="B4" s="40" t="str">
        <x:v>FECHA</x:v>
      </x:c>
      <x:c r="C4" s="40" t="str">
        <x:v>HORA</x:v>
      </x:c>
      <x:c r="D4" s="40" t="str">
        <x:v>ESTADO</x:v>
      </x:c>
      <x:c r="E4" s="40" t="str">
        <x:v>TIPO_SERVICIO</x:v>
      </x:c>
      <x:c r="F4" s="40" t="str">
        <x:v>CANAL</x:v>
      </x:c>
      <x:c r="G4" s="40" t="str">
        <x:v>CLIENTE</x:v>
      </x:c>
      <x:c r="H4" s="40" t="str">
        <x:v>TELEFONO</x:v>
      </x:c>
      <x:c r="I4" s="40" t="str">
        <x:v>DNI_CLIENTE</x:v>
      </x:c>
      <x:c r="J4" s="40" t="str">
        <x:v>ORIGEN</x:v>
      </x:c>
      <x:c r="K4" s="40" t="str">
        <x:v>DESTINO</x:v>
      </x:c>
      <x:c r="L4" s="40" t="str">
        <x:v>REFERENCIA_ORIGEN</x:v>
      </x:c>
      <x:c r="M4" s="40" t="str">
        <x:v>REFERENCIA_DESTINO</x:v>
      </x:c>
      <x:c r="N4" s="40" t="str">
        <x:v>RUTA</x:v>
      </x:c>
      <x:c r="O4" s="40" t="str">
        <x:v>CONDUCTOR</x:v>
      </x:c>
      <x:c r="P4" s="40" t="str">
        <x:v>PLACA</x:v>
      </x:c>
      <x:c r="Q4" s="40" t="str">
        <x:v>TELEFONO_CONDUCTOR</x:v>
      </x:c>
      <x:c r="R4" s="40" t="str">
        <x:v>PAGO</x:v>
      </x:c>
      <x:c r="S4" s="40" t="str">
        <x:v>TARIFA</x:v>
      </x:c>
      <x:c r="T4" s="40" t="str">
        <x:v>PRIORIDAD</x:v>
      </x:c>
      <x:c r="U4" s="40" t="str">
        <x:v>ALERTA</x:v>
      </x:c>
      <x:c r="V4" s="40" t="str">
        <x:v>OBSERVACION</x:v>
      </x:c>
      <x:c r="W4" s="40" t="str">
        <x:v>ULTIMA_ACTUALIZACION</x:v>
      </x:c>
      <x:c r="X4" s="40" t="str">
        <x:v>HORA_CONFIRMACION</x:v>
      </x:c>
      <x:c r="Y4" s="40" t="str">
        <x:v>HORA_ASIGNACION</x:v>
      </x:c>
      <x:c r="Z4" s="40" t="str">
        <x:v>MINUTOS_ESPERA</x:v>
      </x:c>
    </x:row>
    <x:row r="5">
      <x:c r="A5" t="str">
        <x:v>BM-00001</x:v>
      </x:c>
      <x:c r="B5" s="46" t="n">
        <x:v>46161</x:v>
      </x:c>
      <x:c r="C5" t="str">
        <x:v>18:42</x:v>
      </x:c>
      <x:c r="D5" t="str">
        <x:v>PENDIENTE_CONDUCTOR</x:v>
      </x:c>
      <x:c r="E5" t="str">
        <x:v>ENCOMIENDA</x:v>
      </x:c>
      <x:c r="F5" t="str">
        <x:v>AUDIO</x:v>
      </x:c>
      <x:c r="G5" t="str">
        <x:v>Anoar Espinoza</x:v>
      </x:c>
      <x:c r="H5" t="str">
        <x:v>999111222</x:v>
      </x:c>
      <x:c r="I5" t="str"/>
      <x:c r="J5" t="str">
        <x:v>Parque Virgen de Guadalupe, Barranca</x:v>
      </x:c>
      <x:c r="K5" t="str">
        <x:v>El Lino, referencia Calle Primavera, Barranca</x:v>
      </x:c>
      <x:c r="L5" t="str">
        <x:v>Parque Virgen de Guadalupe</x:v>
      </x:c>
      <x:c r="M5" t="str">
        <x:v>Calle Primavera</x:v>
      </x:c>
      <x:c r="N5" t="str">
        <x:v>Local Barranca</x:v>
      </x:c>
      <x:c r="O5" t="str"/>
      <x:c r="P5" t="str"/>
      <x:c r="Q5" t="str"/>
      <x:c r="R5" t="str">
        <x:v>Yape</x:v>
      </x:c>
      <x:c r="S5" t="str">
        <x:v>A coordinar</x:v>
      </x:c>
      <x:c r="T5" t="str">
        <x:v>MEDIA</x:v>
      </x:c>
      <x:c r="U5" t="str">
        <x:v>BEBIDAS_LIQUIDO</x:v>
      </x:c>
      <x:c r="V5" t="str">
        <x:v>Validar mayoría de edad si aplica</x:v>
      </x:c>
      <x:c r="W5" t="n">
        <x:v>46161.77916666667</x:v>
      </x:c>
      <x:c r="X5" t="str">
        <x:v>18:42</x:v>
      </x:c>
      <x:c r="Y5" t="str"/>
      <x:c r="Z5" t="str"/>
    </x:row>
    <x:row r="6">
      <x:c r="A6" t="str">
        <x:v>BM-00002</x:v>
      </x:c>
      <x:c r="B6" s="46" t="n">
        <x:v>46161</x:v>
      </x:c>
      <x:c r="C6" t="str">
        <x:v>18:10</x:v>
      </x:c>
      <x:c r="D6" t="str">
        <x:v>ASIGNADO</x:v>
      </x:c>
      <x:c r="E6" t="str">
        <x:v>TURISMO</x:v>
      </x:c>
      <x:c r="F6" t="str">
        <x:v>TEXTO</x:v>
      </x:c>
      <x:c r="G6" t="str">
        <x:v>Elizabeth Ramos</x:v>
      </x:c>
      <x:c r="H6" t="str">
        <x:v>988222333</x:v>
      </x:c>
      <x:c r="I6" t="str">
        <x:v>41016327</x:v>
      </x:c>
      <x:c r="J6" t="str">
        <x:v>Barranca Centro</x:v>
      </x:c>
      <x:c r="K6" t="str">
        <x:v>Caral</x:v>
      </x:c>
      <x:c r="L6" t="str"/>
      <x:c r="M6" t="str"/>
      <x:c r="N6" t="str">
        <x:v>Barranca - Caral - Barranca</x:v>
      </x:c>
      <x:c r="O6" t="str">
        <x:v>Carlos Álvarez</x:v>
      </x:c>
      <x:c r="P6" t="str">
        <x:v>AXG-557</x:v>
      </x:c>
      <x:c r="Q6" t="str">
        <x:v>900817214</x:v>
      </x:c>
      <x:c r="R6" t="str">
        <x:v>Efectivo</x:v>
      </x:c>
      <x:c r="S6" t="str">
        <x:v>S/60 ref.</x:v>
      </x:c>
      <x:c r="T6" t="str">
        <x:v>ALTA</x:v>
      </x:c>
      <x:c r="U6" t="str">
        <x:v>TURISMO_SIN_DNI</x:v>
      </x:c>
      <x:c r="V6" t="str">
        <x:v>Verificar DNI de pasajeros</x:v>
      </x:c>
      <x:c r="W6" t="n">
        <x:v>46161.75833333333</x:v>
      </x:c>
      <x:c r="X6" t="str">
        <x:v>18:10</x:v>
      </x:c>
      <x:c r="Y6" t="str">
        <x:v>18:12</x:v>
      </x:c>
      <x:c r="Z6" t="n">
        <x:v>2</x:v>
      </x:c>
    </x:row>
    <x:row r="7">
      <x:c r="A7" t="str">
        <x:v>BM-00003</x:v>
      </x:c>
      <x:c r="B7" s="46" t="n">
        <x:v>46161</x:v>
      </x:c>
      <x:c r="C7" t="str">
        <x:v>17:55</x:v>
      </x:c>
      <x:c r="D7" t="str">
        <x:v>FINALIZADO</x:v>
      </x:c>
      <x:c r="E7" t="str">
        <x:v>COLECTIVO</x:v>
      </x:c>
      <x:c r="F7" t="str">
        <x:v>TEXTO</x:v>
      </x:c>
      <x:c r="G7" t="str">
        <x:v>Abel Salinas</x:v>
      </x:c>
      <x:c r="H7" t="str">
        <x:v>977333444</x:v>
      </x:c>
      <x:c r="I7" t="str"/>
      <x:c r="J7" t="str">
        <x:v>Pasaje España, zona Pampa de Lara, Barranca</x:v>
      </x:c>
      <x:c r="K7" t="str">
        <x:v>Paramonga</x:v>
      </x:c>
      <x:c r="L7" t="str">
        <x:v>Pampa de Lara</x:v>
      </x:c>
      <x:c r="M7" t="str"/>
      <x:c r="N7" t="str">
        <x:v>Barranca - Paramonga</x:v>
      </x:c>
      <x:c r="O7" t="str">
        <x:v>Christian Chinchay</x:v>
      </x:c>
      <x:c r="P7" t="str">
        <x:v>APS-359</x:v>
      </x:c>
      <x:c r="Q7" t="str">
        <x:v>901258690</x:v>
      </x:c>
      <x:c r="R7" t="str">
        <x:v>Yape</x:v>
      </x:c>
      <x:c r="S7" t="str">
        <x:v>S/5.00</x:v>
      </x:c>
      <x:c r="T7" t="str">
        <x:v>BAJA</x:v>
      </x:c>
      <x:c r="U7" t="str"/>
      <x:c r="V7" t="str">
        <x:v>Servicio completado</x:v>
      </x:c>
      <x:c r="W7" t="n">
        <x:v>46161.770833333336</x:v>
      </x:c>
      <x:c r="X7" t="str">
        <x:v>17:55</x:v>
      </x:c>
      <x:c r="Y7" t="str">
        <x:v>17:58</x:v>
      </x:c>
      <x:c r="Z7" t="n">
        <x:v>3</x:v>
      </x:c>
    </x:row>
    <x:row r="8">
      <x:c r="B8" s="46"/>
    </x:row>
    <x:row r="9">
      <x:c r="B9" s="46"/>
    </x:row>
    <x:row r="10">
      <x:c r="B10" s="46"/>
    </x:row>
    <x:row r="11">
      <x:c r="B11" s="46"/>
    </x:row>
    <x:row r="12">
      <x:c r="B12" s="46"/>
    </x:row>
    <x:row r="13">
      <x:c r="B13" s="46"/>
    </x:row>
    <x:row r="14">
      <x:c r="B14" s="46"/>
    </x:row>
    <x:row r="15">
      <x:c r="B15" s="46"/>
    </x:row>
    <x:row r="16">
      <x:c r="B16" s="46"/>
    </x:row>
    <x:row r="17">
      <x:c r="B17" s="46"/>
    </x:row>
    <x:row r="18">
      <x:c r="B18" s="46"/>
    </x:row>
    <x:row r="19">
      <x:c r="B19" s="46"/>
    </x:row>
    <x:row r="20">
      <x:c r="B20" s="46"/>
    </x:row>
    <x:row r="21">
      <x:c r="B21" s="46"/>
    </x:row>
    <x:row r="22">
      <x:c r="B22" s="46"/>
    </x:row>
    <x:row r="23">
      <x:c r="B23" s="46"/>
    </x:row>
    <x:row r="24">
      <x:c r="B24" s="46"/>
    </x:row>
    <x:row r="25">
      <x:c r="B25" s="46"/>
    </x:row>
    <x:row r="26">
      <x:c r="B26" s="46"/>
    </x:row>
    <x:row r="27">
      <x:c r="B27" s="46"/>
    </x:row>
    <x:row r="28">
      <x:c r="B28" s="46"/>
    </x:row>
    <x:row r="29">
      <x:c r="B29" s="46"/>
    </x:row>
    <x:row r="30">
      <x:c r="B30" s="46"/>
    </x:row>
    <x:row r="31">
      <x:c r="B31" s="46"/>
    </x:row>
    <x:row r="32">
      <x:c r="B32" s="46"/>
    </x:row>
    <x:row r="33">
      <x:c r="B33" s="46"/>
    </x:row>
    <x:row r="34">
      <x:c r="B34" s="46"/>
    </x:row>
    <x:row r="35">
      <x:c r="B35" s="46"/>
    </x:row>
    <x:row r="36">
      <x:c r="B36" s="46"/>
    </x:row>
    <x:row r="37">
      <x:c r="B37" s="46"/>
    </x:row>
    <x:row r="38">
      <x:c r="B38" s="46"/>
    </x:row>
    <x:row r="39">
      <x:c r="B39" s="46"/>
    </x:row>
    <x:row r="40">
      <x:c r="B40" s="46"/>
    </x:row>
    <x:row r="41">
      <x:c r="B41" s="46"/>
    </x:row>
    <x:row r="42">
      <x:c r="B42" s="46"/>
    </x:row>
    <x:row r="43">
      <x:c r="B43" s="46"/>
    </x:row>
    <x:row r="44">
      <x:c r="B44" s="46"/>
    </x:row>
    <x:row r="45">
      <x:c r="B45" s="46"/>
    </x:row>
    <x:row r="46">
      <x:c r="B46" s="46"/>
    </x:row>
    <x:row r="47">
      <x:c r="B47" s="46"/>
    </x:row>
    <x:row r="48">
      <x:c r="B48" s="46"/>
    </x:row>
    <x:row r="49">
      <x:c r="B49" s="46"/>
    </x:row>
    <x:row r="50">
      <x:c r="B50" s="46"/>
    </x:row>
    <x:row r="51">
      <x:c r="B51" s="46"/>
    </x:row>
    <x:row r="52">
      <x:c r="B52" s="46"/>
    </x:row>
    <x:row r="53">
      <x:c r="B53" s="46"/>
    </x:row>
    <x:row r="54">
      <x:c r="B54" s="46"/>
    </x:row>
    <x:row r="55">
      <x:c r="B55" s="46"/>
    </x:row>
    <x:row r="56">
      <x:c r="B56" s="46"/>
    </x:row>
    <x:row r="57">
      <x:c r="B57" s="46"/>
    </x:row>
    <x:row r="58">
      <x:c r="B58" s="46"/>
    </x:row>
    <x:row r="59">
      <x:c r="B59" s="46"/>
    </x:row>
    <x:row r="60">
      <x:c r="B60" s="46"/>
    </x:row>
    <x:row r="61">
      <x:c r="B61" s="46"/>
    </x:row>
    <x:row r="62">
      <x:c r="B62" s="46"/>
    </x:row>
    <x:row r="63">
      <x:c r="B63" s="46"/>
    </x:row>
    <x:row r="64">
      <x:c r="B64" s="46"/>
    </x:row>
    <x:row r="65">
      <x:c r="B65" s="46"/>
    </x:row>
    <x:row r="66">
      <x:c r="B66" s="46"/>
    </x:row>
    <x:row r="67">
      <x:c r="B67" s="46"/>
    </x:row>
    <x:row r="68">
      <x:c r="B68" s="46"/>
    </x:row>
    <x:row r="69">
      <x:c r="B69" s="46"/>
    </x:row>
    <x:row r="70">
      <x:c r="B70" s="46"/>
    </x:row>
    <x:row r="71">
      <x:c r="B71" s="46"/>
    </x:row>
    <x:row r="72">
      <x:c r="B72" s="46"/>
    </x:row>
    <x:row r="73">
      <x:c r="B73" s="46"/>
    </x:row>
    <x:row r="74">
      <x:c r="B74" s="46"/>
    </x:row>
    <x:row r="75">
      <x:c r="B75" s="46"/>
    </x:row>
    <x:row r="76">
      <x:c r="B76" s="46"/>
    </x:row>
    <x:row r="77">
      <x:c r="B77" s="46"/>
    </x:row>
    <x:row r="78">
      <x:c r="B78" s="46"/>
    </x:row>
    <x:row r="79">
      <x:c r="B79" s="46"/>
    </x:row>
    <x:row r="80">
      <x:c r="B80" s="46"/>
    </x:row>
    <x:row r="81">
      <x:c r="B81" s="46"/>
    </x:row>
    <x:row r="82">
      <x:c r="B82" s="46"/>
    </x:row>
    <x:row r="83">
      <x:c r="B83" s="46"/>
    </x:row>
    <x:row r="84">
      <x:c r="B84" s="46"/>
    </x:row>
    <x:row r="85">
      <x:c r="B85" s="46"/>
    </x:row>
    <x:row r="86">
      <x:c r="B86" s="46"/>
    </x:row>
    <x:row r="87">
      <x:c r="B87" s="46"/>
    </x:row>
    <x:row r="88">
      <x:c r="B88" s="46"/>
    </x:row>
    <x:row r="89">
      <x:c r="B89" s="46"/>
    </x:row>
    <x:row r="90">
      <x:c r="B90" s="46"/>
    </x:row>
    <x:row r="91">
      <x:c r="B91" s="46"/>
    </x:row>
    <x:row r="92">
      <x:c r="B92" s="46"/>
    </x:row>
    <x:row r="93">
      <x:c r="B93" s="46"/>
    </x:row>
    <x:row r="94">
      <x:c r="B94" s="46"/>
    </x:row>
    <x:row r="95">
      <x:c r="B95" s="46"/>
    </x:row>
    <x:row r="96">
      <x:c r="B96" s="46"/>
    </x:row>
    <x:row r="97">
      <x:c r="B97" s="46"/>
    </x:row>
    <x:row r="98">
      <x:c r="B98" s="46"/>
    </x:row>
    <x:row r="99">
      <x:c r="B99" s="46"/>
    </x:row>
    <x:row r="100">
      <x:c r="B100" s="46"/>
    </x:row>
    <x:row r="101">
      <x:c r="B101" s="46"/>
    </x:row>
    <x:row r="102">
      <x:c r="B102" s="46"/>
    </x:row>
    <x:row r="103">
      <x:c r="B103" s="46"/>
    </x:row>
    <x:row r="104">
      <x:c r="B104" s="46"/>
    </x:row>
    <x:row r="105">
      <x:c r="B105" s="46"/>
    </x:row>
    <x:row r="106">
      <x:c r="B106" s="46"/>
    </x:row>
    <x:row r="107">
      <x:c r="B107" s="46"/>
    </x:row>
    <x:row r="108">
      <x:c r="B108" s="46"/>
    </x:row>
    <x:row r="109">
      <x:c r="B109" s="46"/>
    </x:row>
    <x:row r="110">
      <x:c r="B110" s="46"/>
    </x:row>
    <x:row r="111">
      <x:c r="B111" s="46"/>
    </x:row>
    <x:row r="112">
      <x:c r="B112" s="46"/>
    </x:row>
    <x:row r="113">
      <x:c r="B113" s="46"/>
    </x:row>
    <x:row r="114">
      <x:c r="B114" s="46"/>
    </x:row>
    <x:row r="115">
      <x:c r="B115" s="46"/>
    </x:row>
    <x:row r="116">
      <x:c r="B116" s="46"/>
    </x:row>
    <x:row r="117">
      <x:c r="B117" s="46"/>
    </x:row>
    <x:row r="118">
      <x:c r="B118" s="46"/>
    </x:row>
    <x:row r="119">
      <x:c r="B119" s="46"/>
    </x:row>
    <x:row r="120">
      <x:c r="B120" s="46"/>
    </x:row>
    <x:row r="121">
      <x:c r="B121" s="46"/>
    </x:row>
    <x:row r="122">
      <x:c r="B122" s="46"/>
    </x:row>
    <x:row r="123">
      <x:c r="B123" s="46"/>
    </x:row>
    <x:row r="124">
      <x:c r="B124" s="46"/>
    </x:row>
    <x:row r="125">
      <x:c r="B125" s="46"/>
    </x:row>
    <x:row r="126">
      <x:c r="B126" s="46"/>
    </x:row>
    <x:row r="127">
      <x:c r="B127" s="46"/>
    </x:row>
    <x:row r="128">
      <x:c r="B128" s="46"/>
    </x:row>
    <x:row r="129">
      <x:c r="B129" s="46"/>
    </x:row>
    <x:row r="130">
      <x:c r="B130" s="46"/>
    </x:row>
    <x:row r="131">
      <x:c r="B131" s="46"/>
    </x:row>
    <x:row r="132">
      <x:c r="B132" s="46"/>
    </x:row>
    <x:row r="133">
      <x:c r="B133" s="46"/>
    </x:row>
    <x:row r="134">
      <x:c r="B134" s="46"/>
    </x:row>
    <x:row r="135">
      <x:c r="B135" s="46"/>
    </x:row>
    <x:row r="136">
      <x:c r="B136" s="46"/>
    </x:row>
    <x:row r="137">
      <x:c r="B137" s="46"/>
    </x:row>
    <x:row r="138">
      <x:c r="B138" s="46"/>
    </x:row>
    <x:row r="139">
      <x:c r="B139" s="46"/>
    </x:row>
    <x:row r="140">
      <x:c r="B140" s="46"/>
    </x:row>
    <x:row r="141">
      <x:c r="B141" s="46"/>
    </x:row>
    <x:row r="142">
      <x:c r="B142" s="46"/>
    </x:row>
    <x:row r="143">
      <x:c r="B143" s="46"/>
    </x:row>
    <x:row r="144">
      <x:c r="B144" s="46"/>
    </x:row>
    <x:row r="145">
      <x:c r="B145" s="46"/>
    </x:row>
    <x:row r="146">
      <x:c r="B146" s="46"/>
    </x:row>
    <x:row r="147">
      <x:c r="B147" s="46"/>
    </x:row>
    <x:row r="148">
      <x:c r="B148" s="46"/>
    </x:row>
    <x:row r="149">
      <x:c r="B149" s="46"/>
    </x:row>
    <x:row r="150">
      <x:c r="B150" s="46"/>
    </x:row>
    <x:row r="151">
      <x:c r="B151" s="46"/>
    </x:row>
    <x:row r="152">
      <x:c r="B152" s="46"/>
    </x:row>
    <x:row r="153">
      <x:c r="B153" s="46"/>
    </x:row>
    <x:row r="154">
      <x:c r="B154" s="46"/>
    </x:row>
    <x:row r="155">
      <x:c r="B155" s="46"/>
    </x:row>
    <x:row r="156">
      <x:c r="B156" s="46"/>
    </x:row>
    <x:row r="157">
      <x:c r="B157" s="46"/>
    </x:row>
    <x:row r="158">
      <x:c r="B158" s="46"/>
    </x:row>
    <x:row r="159">
      <x:c r="B159" s="46"/>
    </x:row>
    <x:row r="160">
      <x:c r="B160" s="46"/>
    </x:row>
    <x:row r="161">
      <x:c r="B161" s="46"/>
    </x:row>
    <x:row r="162">
      <x:c r="B162" s="46"/>
    </x:row>
    <x:row r="163">
      <x:c r="B163" s="46"/>
    </x:row>
    <x:row r="164">
      <x:c r="B164" s="46"/>
    </x:row>
    <x:row r="165">
      <x:c r="B165" s="46"/>
    </x:row>
    <x:row r="166">
      <x:c r="B166" s="46"/>
    </x:row>
    <x:row r="167">
      <x:c r="B167" s="46"/>
    </x:row>
    <x:row r="168">
      <x:c r="B168" s="46"/>
    </x:row>
    <x:row r="169">
      <x:c r="B169" s="46"/>
    </x:row>
    <x:row r="170">
      <x:c r="B170" s="46"/>
    </x:row>
    <x:row r="171">
      <x:c r="B171" s="46"/>
    </x:row>
    <x:row r="172">
      <x:c r="B172" s="46"/>
    </x:row>
    <x:row r="173">
      <x:c r="B173" s="46"/>
    </x:row>
    <x:row r="174">
      <x:c r="B174" s="46"/>
    </x:row>
    <x:row r="175">
      <x:c r="B175" s="46"/>
    </x:row>
    <x:row r="176">
      <x:c r="B176" s="46"/>
    </x:row>
    <x:row r="177">
      <x:c r="B177" s="46"/>
    </x:row>
    <x:row r="178">
      <x:c r="B178" s="46"/>
    </x:row>
    <x:row r="179">
      <x:c r="B179" s="46"/>
    </x:row>
    <x:row r="180">
      <x:c r="B180" s="46"/>
    </x:row>
    <x:row r="181">
      <x:c r="B181" s="46"/>
    </x:row>
    <x:row r="182">
      <x:c r="B182" s="46"/>
    </x:row>
    <x:row r="183">
      <x:c r="B183" s="46"/>
    </x:row>
    <x:row r="184">
      <x:c r="B184" s="46"/>
    </x:row>
    <x:row r="185">
      <x:c r="B185" s="46"/>
    </x:row>
    <x:row r="186">
      <x:c r="B186" s="46"/>
    </x:row>
    <x:row r="187">
      <x:c r="B187" s="46"/>
    </x:row>
    <x:row r="188">
      <x:c r="B188" s="46"/>
    </x:row>
    <x:row r="189">
      <x:c r="B189" s="46"/>
    </x:row>
    <x:row r="190">
      <x:c r="B190" s="46"/>
    </x:row>
    <x:row r="191">
      <x:c r="B191" s="46"/>
    </x:row>
    <x:row r="192">
      <x:c r="B192" s="46"/>
    </x:row>
    <x:row r="193">
      <x:c r="B193" s="46"/>
    </x:row>
    <x:row r="194">
      <x:c r="B194" s="46"/>
    </x:row>
    <x:row r="195">
      <x:c r="B195" s="46"/>
    </x:row>
    <x:row r="196">
      <x:c r="B196" s="46"/>
    </x:row>
    <x:row r="197">
      <x:c r="B197" s="46"/>
    </x:row>
    <x:row r="198">
      <x:c r="B198" s="46"/>
    </x:row>
    <x:row r="199">
      <x:c r="B199" s="46"/>
    </x:row>
    <x:row r="200">
      <x:c r="B200" s="46"/>
    </x:row>
    <x:row r="201">
      <x:c r="B201" s="46"/>
    </x:row>
    <x:row r="202">
      <x:c r="B202" s="46"/>
    </x:row>
    <x:row r="203">
      <x:c r="B203" s="46"/>
    </x:row>
    <x:row r="204">
      <x:c r="B204" s="46"/>
    </x:row>
    <x:row r="205">
      <x:c r="B205" s="46"/>
    </x:row>
    <x:row r="206">
      <x:c r="B206" s="46"/>
    </x:row>
    <x:row r="207">
      <x:c r="B207" s="46"/>
    </x:row>
    <x:row r="208">
      <x:c r="B208" s="46"/>
    </x:row>
    <x:row r="209">
      <x:c r="B209" s="46"/>
    </x:row>
    <x:row r="210">
      <x:c r="B210" s="46"/>
    </x:row>
    <x:row r="211">
      <x:c r="B211" s="46"/>
    </x:row>
    <x:row r="212">
      <x:c r="B212" s="46"/>
    </x:row>
    <x:row r="213">
      <x:c r="B213" s="46"/>
    </x:row>
    <x:row r="214">
      <x:c r="B214" s="46"/>
    </x:row>
    <x:row r="215">
      <x:c r="B215" s="46"/>
    </x:row>
    <x:row r="216">
      <x:c r="B216" s="46"/>
    </x:row>
    <x:row r="217">
      <x:c r="B217" s="46"/>
    </x:row>
    <x:row r="218">
      <x:c r="B218" s="46"/>
    </x:row>
    <x:row r="219">
      <x:c r="B219" s="46"/>
    </x:row>
    <x:row r="220">
      <x:c r="B220" s="46"/>
    </x:row>
    <x:row r="221">
      <x:c r="B221" s="46"/>
    </x:row>
    <x:row r="222">
      <x:c r="B222" s="46"/>
    </x:row>
    <x:row r="223">
      <x:c r="B223" s="46"/>
    </x:row>
    <x:row r="224">
      <x:c r="B224" s="46"/>
    </x:row>
    <x:row r="225">
      <x:c r="B225" s="46"/>
    </x:row>
    <x:row r="226">
      <x:c r="B226" s="46"/>
    </x:row>
    <x:row r="227">
      <x:c r="B227" s="46"/>
    </x:row>
    <x:row r="228">
      <x:c r="B228" s="46"/>
    </x:row>
    <x:row r="229">
      <x:c r="B229" s="46"/>
    </x:row>
    <x:row r="230">
      <x:c r="B230" s="46"/>
    </x:row>
    <x:row r="231">
      <x:c r="B231" s="46"/>
    </x:row>
    <x:row r="232">
      <x:c r="B232" s="46"/>
    </x:row>
    <x:row r="233">
      <x:c r="B233" s="46"/>
    </x:row>
    <x:row r="234">
      <x:c r="B234" s="46"/>
    </x:row>
    <x:row r="235">
      <x:c r="B235" s="46"/>
    </x:row>
    <x:row r="236">
      <x:c r="B236" s="46"/>
    </x:row>
    <x:row r="237">
      <x:c r="B237" s="46"/>
    </x:row>
    <x:row r="238">
      <x:c r="B238" s="46"/>
    </x:row>
    <x:row r="239">
      <x:c r="B239" s="46"/>
    </x:row>
    <x:row r="240">
      <x:c r="B240" s="46"/>
    </x:row>
    <x:row r="241">
      <x:c r="B241" s="46"/>
    </x:row>
    <x:row r="242">
      <x:c r="B242" s="46"/>
    </x:row>
    <x:row r="243">
      <x:c r="B243" s="46"/>
    </x:row>
    <x:row r="244">
      <x:c r="B244" s="46"/>
    </x:row>
    <x:row r="245">
      <x:c r="B245" s="46"/>
    </x:row>
    <x:row r="246">
      <x:c r="B246" s="46"/>
    </x:row>
    <x:row r="247">
      <x:c r="B247" s="46"/>
    </x:row>
    <x:row r="248">
      <x:c r="B248" s="46"/>
    </x:row>
    <x:row r="249">
      <x:c r="B249" s="46"/>
    </x:row>
    <x:row r="250">
      <x:c r="B250" s="46"/>
    </x:row>
    <x:row r="251">
      <x:c r="B251" s="46"/>
    </x:row>
    <x:row r="252">
      <x:c r="B252" s="46"/>
    </x:row>
    <x:row r="253">
      <x:c r="B253" s="46"/>
    </x:row>
    <x:row r="254">
      <x:c r="B254" s="46"/>
    </x:row>
    <x:row r="255">
      <x:c r="B255" s="46"/>
    </x:row>
    <x:row r="256">
      <x:c r="B256" s="46"/>
    </x:row>
    <x:row r="257">
      <x:c r="B257" s="46"/>
    </x:row>
    <x:row r="258">
      <x:c r="B258" s="46"/>
    </x:row>
    <x:row r="259">
      <x:c r="B259" s="46"/>
    </x:row>
    <x:row r="260">
      <x:c r="B260" s="46"/>
    </x:row>
    <x:row r="261">
      <x:c r="B261" s="46"/>
    </x:row>
    <x:row r="262">
      <x:c r="B262" s="46"/>
    </x:row>
    <x:row r="263">
      <x:c r="B263" s="46"/>
    </x:row>
    <x:row r="264">
      <x:c r="B264" s="46"/>
    </x:row>
    <x:row r="265">
      <x:c r="B265" s="46"/>
    </x:row>
    <x:row r="266">
      <x:c r="B266" s="46"/>
    </x:row>
    <x:row r="267">
      <x:c r="B267" s="46"/>
    </x:row>
    <x:row r="268">
      <x:c r="B268" s="46"/>
    </x:row>
    <x:row r="269">
      <x:c r="B269" s="46"/>
    </x:row>
    <x:row r="270">
      <x:c r="B270" s="46"/>
    </x:row>
    <x:row r="271">
      <x:c r="B271" s="46"/>
    </x:row>
    <x:row r="272">
      <x:c r="B272" s="46"/>
    </x:row>
    <x:row r="273">
      <x:c r="B273" s="46"/>
    </x:row>
    <x:row r="274">
      <x:c r="B274" s="46"/>
    </x:row>
    <x:row r="275">
      <x:c r="B275" s="46"/>
    </x:row>
    <x:row r="276">
      <x:c r="B276" s="46"/>
    </x:row>
    <x:row r="277">
      <x:c r="B277" s="46"/>
    </x:row>
    <x:row r="278">
      <x:c r="B278" s="46"/>
    </x:row>
    <x:row r="279">
      <x:c r="B279" s="46"/>
    </x:row>
    <x:row r="280">
      <x:c r="B280" s="46"/>
    </x:row>
    <x:row r="281">
      <x:c r="B281" s="46"/>
    </x:row>
    <x:row r="282">
      <x:c r="B282" s="46"/>
    </x:row>
    <x:row r="283">
      <x:c r="B283" s="46"/>
    </x:row>
    <x:row r="284">
      <x:c r="B284" s="46"/>
    </x:row>
    <x:row r="285">
      <x:c r="B285" s="46"/>
    </x:row>
    <x:row r="286">
      <x:c r="B286" s="46"/>
    </x:row>
    <x:row r="287">
      <x:c r="B287" s="46"/>
    </x:row>
    <x:row r="288">
      <x:c r="B288" s="46"/>
    </x:row>
    <x:row r="289">
      <x:c r="B289" s="46"/>
    </x:row>
    <x:row r="290">
      <x:c r="B290" s="46"/>
    </x:row>
    <x:row r="291">
      <x:c r="B291" s="46"/>
    </x:row>
    <x:row r="292">
      <x:c r="B292" s="46"/>
    </x:row>
    <x:row r="293">
      <x:c r="B293" s="46"/>
    </x:row>
    <x:row r="294">
      <x:c r="B294" s="46"/>
    </x:row>
    <x:row r="295">
      <x:c r="B295" s="46"/>
    </x:row>
    <x:row r="296">
      <x:c r="B296" s="46"/>
    </x:row>
    <x:row r="297">
      <x:c r="B297" s="46"/>
    </x:row>
    <x:row r="298">
      <x:c r="B298" s="46"/>
    </x:row>
    <x:row r="299">
      <x:c r="B299" s="46"/>
    </x:row>
    <x:row r="300">
      <x:c r="B300" s="46"/>
    </x:row>
    <x:row r="301">
      <x:c r="B301" s="46"/>
    </x:row>
    <x:row r="302">
      <x:c r="B302" s="46"/>
    </x:row>
    <x:row r="303">
      <x:c r="B303" s="46"/>
    </x:row>
    <x:row r="304">
      <x:c r="B304" s="46"/>
    </x:row>
    <x:row r="305">
      <x:c r="B305" s="46"/>
    </x:row>
    <x:row r="306">
      <x:c r="B306" s="46"/>
    </x:row>
    <x:row r="307">
      <x:c r="B307" s="46"/>
    </x:row>
    <x:row r="308">
      <x:c r="B308" s="46"/>
    </x:row>
    <x:row r="309">
      <x:c r="B309" s="46"/>
    </x:row>
    <x:row r="310">
      <x:c r="B310" s="46"/>
    </x:row>
    <x:row r="311">
      <x:c r="B311" s="46"/>
    </x:row>
    <x:row r="312">
      <x:c r="B312" s="46"/>
    </x:row>
    <x:row r="313">
      <x:c r="B313" s="46"/>
    </x:row>
    <x:row r="314">
      <x:c r="B314" s="46"/>
    </x:row>
    <x:row r="315">
      <x:c r="B315" s="46"/>
    </x:row>
    <x:row r="316">
      <x:c r="B316" s="46"/>
    </x:row>
    <x:row r="317">
      <x:c r="B317" s="46"/>
    </x:row>
    <x:row r="318">
      <x:c r="B318" s="46"/>
    </x:row>
    <x:row r="319">
      <x:c r="B319" s="46"/>
    </x:row>
    <x:row r="320">
      <x:c r="B320" s="46"/>
    </x:row>
    <x:row r="321">
      <x:c r="B321" s="46"/>
    </x:row>
    <x:row r="322">
      <x:c r="B322" s="46"/>
    </x:row>
    <x:row r="323">
      <x:c r="B323" s="46"/>
    </x:row>
    <x:row r="324">
      <x:c r="B324" s="46"/>
    </x:row>
    <x:row r="325">
      <x:c r="B325" s="46"/>
    </x:row>
    <x:row r="326">
      <x:c r="B326" s="46"/>
    </x:row>
    <x:row r="327">
      <x:c r="B327" s="46"/>
    </x:row>
    <x:row r="328">
      <x:c r="B328" s="46"/>
    </x:row>
    <x:row r="329">
      <x:c r="B329" s="46"/>
    </x:row>
    <x:row r="330">
      <x:c r="B330" s="46"/>
    </x:row>
    <x:row r="331">
      <x:c r="B331" s="46"/>
    </x:row>
    <x:row r="332">
      <x:c r="B332" s="46"/>
    </x:row>
    <x:row r="333">
      <x:c r="B333" s="46"/>
    </x:row>
    <x:row r="334">
      <x:c r="B334" s="46"/>
    </x:row>
    <x:row r="335">
      <x:c r="B335" s="46"/>
    </x:row>
    <x:row r="336">
      <x:c r="B336" s="46"/>
    </x:row>
    <x:row r="337">
      <x:c r="B337" s="46"/>
    </x:row>
    <x:row r="338">
      <x:c r="B338" s="46"/>
    </x:row>
    <x:row r="339">
      <x:c r="B339" s="46"/>
    </x:row>
    <x:row r="340">
      <x:c r="B340" s="46"/>
    </x:row>
    <x:row r="341">
      <x:c r="B341" s="46"/>
    </x:row>
    <x:row r="342">
      <x:c r="B342" s="46"/>
    </x:row>
    <x:row r="343">
      <x:c r="B343" s="46"/>
    </x:row>
    <x:row r="344">
      <x:c r="B344" s="46"/>
    </x:row>
    <x:row r="345">
      <x:c r="B345" s="46"/>
    </x:row>
    <x:row r="346">
      <x:c r="B346" s="46"/>
    </x:row>
    <x:row r="347">
      <x:c r="B347" s="46"/>
    </x:row>
    <x:row r="348">
      <x:c r="B348" s="46"/>
    </x:row>
    <x:row r="349">
      <x:c r="B349" s="46"/>
    </x:row>
    <x:row r="350">
      <x:c r="B350" s="46"/>
    </x:row>
    <x:row r="351">
      <x:c r="B351" s="46"/>
    </x:row>
    <x:row r="352">
      <x:c r="B352" s="46"/>
    </x:row>
    <x:row r="353">
      <x:c r="B353" s="46"/>
    </x:row>
    <x:row r="354">
      <x:c r="B354" s="46"/>
    </x:row>
    <x:row r="355">
      <x:c r="B355" s="46"/>
    </x:row>
    <x:row r="356">
      <x:c r="B356" s="46"/>
    </x:row>
    <x:row r="357">
      <x:c r="B357" s="46"/>
    </x:row>
    <x:row r="358">
      <x:c r="B358" s="46"/>
    </x:row>
    <x:row r="359">
      <x:c r="B359" s="46"/>
    </x:row>
    <x:row r="360">
      <x:c r="B360" s="46"/>
    </x:row>
    <x:row r="361">
      <x:c r="B361" s="46"/>
    </x:row>
    <x:row r="362">
      <x:c r="B362" s="46"/>
    </x:row>
    <x:row r="363">
      <x:c r="B363" s="46"/>
    </x:row>
    <x:row r="364">
      <x:c r="B364" s="46"/>
    </x:row>
    <x:row r="365">
      <x:c r="B365" s="46"/>
    </x:row>
    <x:row r="366">
      <x:c r="B366" s="46"/>
    </x:row>
    <x:row r="367">
      <x:c r="B367" s="46"/>
    </x:row>
    <x:row r="368">
      <x:c r="B368" s="46"/>
    </x:row>
    <x:row r="369">
      <x:c r="B369" s="46"/>
    </x:row>
    <x:row r="370">
      <x:c r="B370" s="46"/>
    </x:row>
    <x:row r="371">
      <x:c r="B371" s="46"/>
    </x:row>
    <x:row r="372">
      <x:c r="B372" s="46"/>
    </x:row>
    <x:row r="373">
      <x:c r="B373" s="46"/>
    </x:row>
    <x:row r="374">
      <x:c r="B374" s="46"/>
    </x:row>
    <x:row r="375">
      <x:c r="B375" s="46"/>
    </x:row>
    <x:row r="376">
      <x:c r="B376" s="46"/>
    </x:row>
    <x:row r="377">
      <x:c r="B377" s="46"/>
    </x:row>
    <x:row r="378">
      <x:c r="B378" s="46"/>
    </x:row>
    <x:row r="379">
      <x:c r="B379" s="46"/>
    </x:row>
    <x:row r="380">
      <x:c r="B380" s="46"/>
    </x:row>
    <x:row r="381">
      <x:c r="B381" s="46"/>
    </x:row>
    <x:row r="382">
      <x:c r="B382" s="46"/>
    </x:row>
    <x:row r="383">
      <x:c r="B383" s="46"/>
    </x:row>
    <x:row r="384">
      <x:c r="B384" s="46"/>
    </x:row>
    <x:row r="385">
      <x:c r="B385" s="46"/>
    </x:row>
    <x:row r="386">
      <x:c r="B386" s="46"/>
    </x:row>
    <x:row r="387">
      <x:c r="B387" s="46"/>
    </x:row>
    <x:row r="388">
      <x:c r="B388" s="46"/>
    </x:row>
    <x:row r="389">
      <x:c r="B389" s="46"/>
    </x:row>
    <x:row r="390">
      <x:c r="B390" s="46"/>
    </x:row>
    <x:row r="391">
      <x:c r="B391" s="46"/>
    </x:row>
    <x:row r="392">
      <x:c r="B392" s="46"/>
    </x:row>
    <x:row r="393">
      <x:c r="B393" s="46"/>
    </x:row>
    <x:row r="394">
      <x:c r="B394" s="46"/>
    </x:row>
    <x:row r="395">
      <x:c r="B395" s="46"/>
    </x:row>
    <x:row r="396">
      <x:c r="B396" s="46"/>
    </x:row>
    <x:row r="397">
      <x:c r="B397" s="46"/>
    </x:row>
    <x:row r="398">
      <x:c r="B398" s="46"/>
    </x:row>
    <x:row r="399">
      <x:c r="B399" s="46"/>
    </x:row>
    <x:row r="400">
      <x:c r="B400" s="46"/>
    </x:row>
    <x:row r="401">
      <x:c r="B401" s="46"/>
    </x:row>
    <x:row r="402">
      <x:c r="B402" s="46"/>
    </x:row>
    <x:row r="403">
      <x:c r="B403" s="46"/>
    </x:row>
    <x:row r="404">
      <x:c r="B404" s="46"/>
    </x:row>
    <x:row r="405">
      <x:c r="B405" s="46"/>
    </x:row>
    <x:row r="406">
      <x:c r="B406" s="46"/>
    </x:row>
    <x:row r="407">
      <x:c r="B407" s="46"/>
    </x:row>
    <x:row r="408">
      <x:c r="B408" s="46"/>
    </x:row>
    <x:row r="409">
      <x:c r="B409" s="46"/>
    </x:row>
    <x:row r="410">
      <x:c r="B410" s="46"/>
    </x:row>
    <x:row r="411">
      <x:c r="B411" s="46"/>
    </x:row>
    <x:row r="412">
      <x:c r="B412" s="46"/>
    </x:row>
    <x:row r="413">
      <x:c r="B413" s="46"/>
    </x:row>
    <x:row r="414">
      <x:c r="B414" s="46"/>
    </x:row>
    <x:row r="415">
      <x:c r="B415" s="46"/>
    </x:row>
    <x:row r="416">
      <x:c r="B416" s="46"/>
    </x:row>
    <x:row r="417">
      <x:c r="B417" s="46"/>
    </x:row>
    <x:row r="418">
      <x:c r="B418" s="46"/>
    </x:row>
    <x:row r="419">
      <x:c r="B419" s="46"/>
    </x:row>
    <x:row r="420">
      <x:c r="B420" s="46"/>
    </x:row>
    <x:row r="421">
      <x:c r="B421" s="46"/>
    </x:row>
    <x:row r="422">
      <x:c r="B422" s="46"/>
    </x:row>
    <x:row r="423">
      <x:c r="B423" s="46"/>
    </x:row>
    <x:row r="424">
      <x:c r="B424" s="46"/>
    </x:row>
    <x:row r="425">
      <x:c r="B425" s="46"/>
    </x:row>
    <x:row r="426">
      <x:c r="B426" s="46"/>
    </x:row>
    <x:row r="427">
      <x:c r="B427" s="46"/>
    </x:row>
    <x:row r="428">
      <x:c r="B428" s="46"/>
    </x:row>
    <x:row r="429">
      <x:c r="B429" s="46"/>
    </x:row>
    <x:row r="430">
      <x:c r="B430" s="46"/>
    </x:row>
    <x:row r="431">
      <x:c r="B431" s="46"/>
    </x:row>
    <x:row r="432">
      <x:c r="B432" s="46"/>
    </x:row>
    <x:row r="433">
      <x:c r="B433" s="46"/>
    </x:row>
    <x:row r="434">
      <x:c r="B434" s="46"/>
    </x:row>
    <x:row r="435">
      <x:c r="B435" s="46"/>
    </x:row>
    <x:row r="436">
      <x:c r="B436" s="46"/>
    </x:row>
    <x:row r="437">
      <x:c r="B437" s="46"/>
    </x:row>
    <x:row r="438">
      <x:c r="B438" s="46"/>
    </x:row>
    <x:row r="439">
      <x:c r="B439" s="46"/>
    </x:row>
    <x:row r="440">
      <x:c r="B440" s="46"/>
    </x:row>
    <x:row r="441">
      <x:c r="B441" s="46"/>
    </x:row>
    <x:row r="442">
      <x:c r="B442" s="46"/>
    </x:row>
    <x:row r="443">
      <x:c r="B443" s="46"/>
    </x:row>
    <x:row r="444">
      <x:c r="B444" s="46"/>
    </x:row>
    <x:row r="445">
      <x:c r="B445" s="46"/>
    </x:row>
    <x:row r="446">
      <x:c r="B446" s="46"/>
    </x:row>
    <x:row r="447">
      <x:c r="B447" s="46"/>
    </x:row>
    <x:row r="448">
      <x:c r="B448" s="46"/>
    </x:row>
    <x:row r="449">
      <x:c r="B449" s="46"/>
    </x:row>
    <x:row r="450">
      <x:c r="B450" s="46"/>
    </x:row>
    <x:row r="451">
      <x:c r="B451" s="46"/>
    </x:row>
    <x:row r="452">
      <x:c r="B452" s="46"/>
    </x:row>
    <x:row r="453">
      <x:c r="B453" s="46"/>
    </x:row>
    <x:row r="454">
      <x:c r="B454" s="46"/>
    </x:row>
    <x:row r="455">
      <x:c r="B455" s="46"/>
    </x:row>
    <x:row r="456">
      <x:c r="B456" s="46"/>
    </x:row>
    <x:row r="457">
      <x:c r="B457" s="46"/>
    </x:row>
    <x:row r="458">
      <x:c r="B458" s="46"/>
    </x:row>
    <x:row r="459">
      <x:c r="B459" s="46"/>
    </x:row>
    <x:row r="460">
      <x:c r="B460" s="46"/>
    </x:row>
    <x:row r="461">
      <x:c r="B461" s="46"/>
    </x:row>
    <x:row r="462">
      <x:c r="B462" s="46"/>
    </x:row>
    <x:row r="463">
      <x:c r="B463" s="46"/>
    </x:row>
    <x:row r="464">
      <x:c r="B464" s="46"/>
    </x:row>
    <x:row r="465">
      <x:c r="B465" s="46"/>
    </x:row>
    <x:row r="466">
      <x:c r="B466" s="46"/>
    </x:row>
    <x:row r="467">
      <x:c r="B467" s="46"/>
    </x:row>
    <x:row r="468">
      <x:c r="B468" s="46"/>
    </x:row>
    <x:row r="469">
      <x:c r="B469" s="46"/>
    </x:row>
    <x:row r="470">
      <x:c r="B470" s="46"/>
    </x:row>
    <x:row r="471">
      <x:c r="B471" s="46"/>
    </x:row>
    <x:row r="472">
      <x:c r="B472" s="46"/>
    </x:row>
    <x:row r="473">
      <x:c r="B473" s="46"/>
    </x:row>
    <x:row r="474">
      <x:c r="B474" s="46"/>
    </x:row>
    <x:row r="475">
      <x:c r="B475" s="46"/>
    </x:row>
    <x:row r="476">
      <x:c r="B476" s="46"/>
    </x:row>
    <x:row r="477">
      <x:c r="B477" s="46"/>
    </x:row>
    <x:row r="478">
      <x:c r="B478" s="46"/>
    </x:row>
    <x:row r="479">
      <x:c r="B479" s="46"/>
    </x:row>
    <x:row r="480">
      <x:c r="B480" s="46"/>
    </x:row>
    <x:row r="481">
      <x:c r="B481" s="46"/>
    </x:row>
    <x:row r="482">
      <x:c r="B482" s="46"/>
    </x:row>
    <x:row r="483">
      <x:c r="B483" s="46"/>
    </x:row>
    <x:row r="484">
      <x:c r="B484" s="46"/>
    </x:row>
    <x:row r="485">
      <x:c r="B485" s="46"/>
    </x:row>
    <x:row r="486">
      <x:c r="B486" s="46"/>
    </x:row>
    <x:row r="487">
      <x:c r="B487" s="46"/>
    </x:row>
    <x:row r="488">
      <x:c r="B488" s="46"/>
    </x:row>
    <x:row r="489">
      <x:c r="B489" s="46"/>
    </x:row>
    <x:row r="490">
      <x:c r="B490" s="46"/>
    </x:row>
    <x:row r="491">
      <x:c r="B491" s="46"/>
    </x:row>
    <x:row r="492">
      <x:c r="B492" s="46"/>
    </x:row>
    <x:row r="493">
      <x:c r="B493" s="46"/>
    </x:row>
    <x:row r="494">
      <x:c r="B494" s="46"/>
    </x:row>
    <x:row r="495">
      <x:c r="B495" s="46"/>
    </x:row>
    <x:row r="496">
      <x:c r="B496" s="46"/>
    </x:row>
    <x:row r="497">
      <x:c r="B497" s="46"/>
    </x:row>
    <x:row r="498">
      <x:c r="B498" s="46"/>
    </x:row>
    <x:row r="499">
      <x:c r="B499" s="46"/>
    </x:row>
    <x:row r="500">
      <x:c r="B500" s="46"/>
    </x:row>
    <x:row r="501">
      <x:c r="B501" s="46"/>
    </x:row>
    <x:row r="502">
      <x:c r="B502" s="46"/>
    </x:row>
    <x:row r="503">
      <x:c r="B503" s="46"/>
    </x:row>
    <x:row r="504">
      <x:c r="B504" s="46"/>
    </x:row>
    <x:row r="505">
      <x:c r="B505" s="46"/>
    </x:row>
    <x:row r="506">
      <x:c r="B506" s="46"/>
    </x:row>
    <x:row r="507">
      <x:c r="B507" s="46"/>
    </x:row>
    <x:row r="508">
      <x:c r="B508" s="46"/>
    </x:row>
    <x:row r="509">
      <x:c r="B509" s="46"/>
    </x:row>
    <x:row r="510">
      <x:c r="B510" s="46"/>
    </x:row>
    <x:row r="511">
      <x:c r="B511" s="46"/>
    </x:row>
    <x:row r="512">
      <x:c r="B512" s="46"/>
    </x:row>
    <x:row r="513">
      <x:c r="B513" s="46"/>
    </x:row>
    <x:row r="514">
      <x:c r="B514" s="46"/>
    </x:row>
    <x:row r="515">
      <x:c r="B515" s="46"/>
    </x:row>
    <x:row r="516">
      <x:c r="B516" s="46"/>
    </x:row>
    <x:row r="517">
      <x:c r="B517" s="46"/>
    </x:row>
    <x:row r="518">
      <x:c r="B518" s="46"/>
    </x:row>
    <x:row r="519">
      <x:c r="B519" s="46"/>
    </x:row>
    <x:row r="520">
      <x:c r="B520" s="46"/>
    </x:row>
    <x:row r="521">
      <x:c r="B521" s="46"/>
    </x:row>
    <x:row r="522">
      <x:c r="B522" s="46"/>
    </x:row>
    <x:row r="523">
      <x:c r="B523" s="46"/>
    </x:row>
    <x:row r="524">
      <x:c r="B524" s="46"/>
    </x:row>
    <x:row r="525">
      <x:c r="B525" s="46"/>
    </x:row>
    <x:row r="526">
      <x:c r="B526" s="46"/>
    </x:row>
    <x:row r="527">
      <x:c r="B527" s="46"/>
    </x:row>
    <x:row r="528">
      <x:c r="B528" s="46"/>
    </x:row>
    <x:row r="529">
      <x:c r="B529" s="46"/>
    </x:row>
    <x:row r="530">
      <x:c r="B530" s="46"/>
    </x:row>
    <x:row r="531">
      <x:c r="B531" s="46"/>
    </x:row>
    <x:row r="532">
      <x:c r="B532" s="46"/>
    </x:row>
    <x:row r="533">
      <x:c r="B533" s="46"/>
    </x:row>
    <x:row r="534">
      <x:c r="B534" s="46"/>
    </x:row>
    <x:row r="535">
      <x:c r="B535" s="46"/>
    </x:row>
    <x:row r="536">
      <x:c r="B536" s="46"/>
    </x:row>
    <x:row r="537">
      <x:c r="B537" s="46"/>
    </x:row>
    <x:row r="538">
      <x:c r="B538" s="46"/>
    </x:row>
    <x:row r="539">
      <x:c r="B539" s="46"/>
    </x:row>
    <x:row r="540">
      <x:c r="B540" s="46"/>
    </x:row>
    <x:row r="541">
      <x:c r="B541" s="46"/>
    </x:row>
    <x:row r="542">
      <x:c r="B542" s="46"/>
    </x:row>
    <x:row r="543">
      <x:c r="B543" s="46"/>
    </x:row>
    <x:row r="544">
      <x:c r="B544" s="46"/>
    </x:row>
    <x:row r="545">
      <x:c r="B545" s="46"/>
    </x:row>
    <x:row r="546">
      <x:c r="B546" s="46"/>
    </x:row>
    <x:row r="547">
      <x:c r="B547" s="46"/>
    </x:row>
    <x:row r="548">
      <x:c r="B548" s="46"/>
    </x:row>
    <x:row r="549">
      <x:c r="B549" s="46"/>
    </x:row>
    <x:row r="550">
      <x:c r="B550" s="46"/>
    </x:row>
    <x:row r="551">
      <x:c r="B551" s="46"/>
    </x:row>
    <x:row r="552">
      <x:c r="B552" s="46"/>
    </x:row>
    <x:row r="553">
      <x:c r="B553" s="46"/>
    </x:row>
    <x:row r="554">
      <x:c r="B554" s="46"/>
    </x:row>
    <x:row r="555">
      <x:c r="B555" s="46"/>
    </x:row>
    <x:row r="556">
      <x:c r="B556" s="46"/>
    </x:row>
    <x:row r="557">
      <x:c r="B557" s="46"/>
    </x:row>
    <x:row r="558">
      <x:c r="B558" s="46"/>
    </x:row>
    <x:row r="559">
      <x:c r="B559" s="46"/>
    </x:row>
    <x:row r="560">
      <x:c r="B560" s="46"/>
    </x:row>
    <x:row r="561">
      <x:c r="B561" s="46"/>
    </x:row>
    <x:row r="562">
      <x:c r="B562" s="46"/>
    </x:row>
    <x:row r="563">
      <x:c r="B563" s="46"/>
    </x:row>
    <x:row r="564">
      <x:c r="B564" s="46"/>
    </x:row>
    <x:row r="565">
      <x:c r="B565" s="46"/>
    </x:row>
    <x:row r="566">
      <x:c r="B566" s="46"/>
    </x:row>
    <x:row r="567">
      <x:c r="B567" s="46"/>
    </x:row>
    <x:row r="568">
      <x:c r="B568" s="46"/>
    </x:row>
    <x:row r="569">
      <x:c r="B569" s="46"/>
    </x:row>
    <x:row r="570">
      <x:c r="B570" s="46"/>
    </x:row>
    <x:row r="571">
      <x:c r="B571" s="46"/>
    </x:row>
    <x:row r="572">
      <x:c r="B572" s="46"/>
    </x:row>
    <x:row r="573">
      <x:c r="B573" s="46"/>
    </x:row>
    <x:row r="574">
      <x:c r="B574" s="46"/>
    </x:row>
    <x:row r="575">
      <x:c r="B575" s="46"/>
    </x:row>
    <x:row r="576">
      <x:c r="B576" s="46"/>
    </x:row>
    <x:row r="577">
      <x:c r="B577" s="46"/>
    </x:row>
    <x:row r="578">
      <x:c r="B578" s="46"/>
    </x:row>
    <x:row r="579">
      <x:c r="B579" s="46"/>
    </x:row>
    <x:row r="580">
      <x:c r="B580" s="46"/>
    </x:row>
    <x:row r="581">
      <x:c r="B581" s="46"/>
    </x:row>
    <x:row r="582">
      <x:c r="B582" s="46"/>
    </x:row>
    <x:row r="583">
      <x:c r="B583" s="46"/>
    </x:row>
    <x:row r="584">
      <x:c r="B584" s="46"/>
    </x:row>
    <x:row r="585">
      <x:c r="B585" s="46"/>
    </x:row>
    <x:row r="586">
      <x:c r="B586" s="46"/>
    </x:row>
    <x:row r="587">
      <x:c r="B587" s="46"/>
    </x:row>
    <x:row r="588">
      <x:c r="B588" s="46"/>
    </x:row>
    <x:row r="589">
      <x:c r="B589" s="46"/>
    </x:row>
    <x:row r="590">
      <x:c r="B590" s="46"/>
    </x:row>
    <x:row r="591">
      <x:c r="B591" s="46"/>
    </x:row>
    <x:row r="592">
      <x:c r="B592" s="46"/>
    </x:row>
    <x:row r="593">
      <x:c r="B593" s="46"/>
    </x:row>
    <x:row r="594">
      <x:c r="B594" s="46"/>
    </x:row>
    <x:row r="595">
      <x:c r="B595" s="46"/>
    </x:row>
    <x:row r="596">
      <x:c r="B596" s="46"/>
    </x:row>
    <x:row r="597">
      <x:c r="B597" s="46"/>
    </x:row>
    <x:row r="598">
      <x:c r="B598" s="46"/>
    </x:row>
    <x:row r="599">
      <x:c r="B599" s="46"/>
    </x:row>
    <x:row r="600">
      <x:c r="B600" s="46"/>
    </x:row>
    <x:row r="601">
      <x:c r="B601" s="46"/>
    </x:row>
    <x:row r="602">
      <x:c r="B602" s="46"/>
    </x:row>
    <x:row r="603">
      <x:c r="B603" s="46"/>
    </x:row>
    <x:row r="604">
      <x:c r="B604" s="46"/>
    </x:row>
    <x:row r="605">
      <x:c r="B605" s="46"/>
    </x:row>
    <x:row r="606">
      <x:c r="B606" s="46"/>
    </x:row>
    <x:row r="607">
      <x:c r="B607" s="46"/>
    </x:row>
    <x:row r="608">
      <x:c r="B608" s="46"/>
    </x:row>
    <x:row r="609">
      <x:c r="B609" s="46"/>
    </x:row>
    <x:row r="610">
      <x:c r="B610" s="46"/>
    </x:row>
    <x:row r="611">
      <x:c r="B611" s="46"/>
    </x:row>
    <x:row r="612">
      <x:c r="B612" s="46"/>
    </x:row>
    <x:row r="613">
      <x:c r="B613" s="46"/>
    </x:row>
    <x:row r="614">
      <x:c r="B614" s="46"/>
    </x:row>
    <x:row r="615">
      <x:c r="B615" s="46"/>
    </x:row>
    <x:row r="616">
      <x:c r="B616" s="46"/>
    </x:row>
    <x:row r="617">
      <x:c r="B617" s="46"/>
    </x:row>
    <x:row r="618">
      <x:c r="B618" s="46"/>
    </x:row>
    <x:row r="619">
      <x:c r="B619" s="46"/>
    </x:row>
    <x:row r="620">
      <x:c r="B620" s="46"/>
    </x:row>
    <x:row r="621">
      <x:c r="B621" s="46"/>
    </x:row>
    <x:row r="622">
      <x:c r="B622" s="46"/>
    </x:row>
    <x:row r="623">
      <x:c r="B623" s="46"/>
    </x:row>
    <x:row r="624">
      <x:c r="B624" s="46"/>
    </x:row>
    <x:row r="625">
      <x:c r="B625" s="46"/>
    </x:row>
    <x:row r="626">
      <x:c r="B626" s="46"/>
    </x:row>
    <x:row r="627">
      <x:c r="B627" s="46"/>
    </x:row>
    <x:row r="628">
      <x:c r="B628" s="46"/>
    </x:row>
    <x:row r="629">
      <x:c r="B629" s="46"/>
    </x:row>
    <x:row r="630">
      <x:c r="B630" s="46"/>
    </x:row>
    <x:row r="631">
      <x:c r="B631" s="46"/>
    </x:row>
    <x:row r="632">
      <x:c r="B632" s="46"/>
    </x:row>
    <x:row r="633">
      <x:c r="B633" s="46"/>
    </x:row>
    <x:row r="634">
      <x:c r="B634" s="46"/>
    </x:row>
    <x:row r="635">
      <x:c r="B635" s="46"/>
    </x:row>
    <x:row r="636">
      <x:c r="B636" s="46"/>
    </x:row>
    <x:row r="637">
      <x:c r="B637" s="46"/>
    </x:row>
    <x:row r="638">
      <x:c r="B638" s="46"/>
    </x:row>
    <x:row r="639">
      <x:c r="B639" s="46"/>
    </x:row>
    <x:row r="640">
      <x:c r="B640" s="46"/>
    </x:row>
    <x:row r="641">
      <x:c r="B641" s="46"/>
    </x:row>
    <x:row r="642">
      <x:c r="B642" s="46"/>
    </x:row>
    <x:row r="643">
      <x:c r="B643" s="46"/>
    </x:row>
    <x:row r="644">
      <x:c r="B644" s="46"/>
    </x:row>
    <x:row r="645">
      <x:c r="B645" s="46"/>
    </x:row>
    <x:row r="646">
      <x:c r="B646" s="46"/>
    </x:row>
    <x:row r="647">
      <x:c r="B647" s="46"/>
    </x:row>
    <x:row r="648">
      <x:c r="B648" s="46"/>
    </x:row>
    <x:row r="649">
      <x:c r="B649" s="46"/>
    </x:row>
    <x:row r="650">
      <x:c r="B650" s="46"/>
    </x:row>
    <x:row r="651">
      <x:c r="B651" s="46"/>
    </x:row>
    <x:row r="652">
      <x:c r="B652" s="46"/>
    </x:row>
    <x:row r="653">
      <x:c r="B653" s="46"/>
    </x:row>
    <x:row r="654">
      <x:c r="B654" s="46"/>
    </x:row>
    <x:row r="655">
      <x:c r="B655" s="46"/>
    </x:row>
    <x:row r="656">
      <x:c r="B656" s="46"/>
    </x:row>
    <x:row r="657">
      <x:c r="B657" s="46"/>
    </x:row>
    <x:row r="658">
      <x:c r="B658" s="46"/>
    </x:row>
    <x:row r="659">
      <x:c r="B659" s="46"/>
    </x:row>
    <x:row r="660">
      <x:c r="B660" s="46"/>
    </x:row>
    <x:row r="661">
      <x:c r="B661" s="46"/>
    </x:row>
    <x:row r="662">
      <x:c r="B662" s="46"/>
    </x:row>
    <x:row r="663">
      <x:c r="B663" s="46"/>
    </x:row>
    <x:row r="664">
      <x:c r="B664" s="46"/>
    </x:row>
    <x:row r="665">
      <x:c r="B665" s="46"/>
    </x:row>
    <x:row r="666">
      <x:c r="B666" s="46"/>
    </x:row>
    <x:row r="667">
      <x:c r="B667" s="46"/>
    </x:row>
    <x:row r="668">
      <x:c r="B668" s="46"/>
    </x:row>
    <x:row r="669">
      <x:c r="B669" s="46"/>
    </x:row>
    <x:row r="670">
      <x:c r="B670" s="46"/>
    </x:row>
    <x:row r="671">
      <x:c r="B671" s="46"/>
    </x:row>
    <x:row r="672">
      <x:c r="B672" s="46"/>
    </x:row>
    <x:row r="673">
      <x:c r="B673" s="46"/>
    </x:row>
    <x:row r="674">
      <x:c r="B674" s="46"/>
    </x:row>
    <x:row r="675">
      <x:c r="B675" s="46"/>
    </x:row>
    <x:row r="676">
      <x:c r="B676" s="46"/>
    </x:row>
    <x:row r="677">
      <x:c r="B677" s="46"/>
    </x:row>
    <x:row r="678">
      <x:c r="B678" s="46"/>
    </x:row>
    <x:row r="679">
      <x:c r="B679" s="46"/>
    </x:row>
    <x:row r="680">
      <x:c r="B680" s="46"/>
    </x:row>
    <x:row r="681">
      <x:c r="B681" s="46"/>
    </x:row>
    <x:row r="682">
      <x:c r="B682" s="46"/>
    </x:row>
    <x:row r="683">
      <x:c r="B683" s="46"/>
    </x:row>
    <x:row r="684">
      <x:c r="B684" s="46"/>
    </x:row>
    <x:row r="685">
      <x:c r="B685" s="46"/>
    </x:row>
    <x:row r="686">
      <x:c r="B686" s="46"/>
    </x:row>
    <x:row r="687">
      <x:c r="B687" s="46"/>
    </x:row>
    <x:row r="688">
      <x:c r="B688" s="46"/>
    </x:row>
    <x:row r="689">
      <x:c r="B689" s="46"/>
    </x:row>
    <x:row r="690">
      <x:c r="B690" s="46"/>
    </x:row>
    <x:row r="691">
      <x:c r="B691" s="46"/>
    </x:row>
    <x:row r="692">
      <x:c r="B692" s="46"/>
    </x:row>
    <x:row r="693">
      <x:c r="B693" s="46"/>
    </x:row>
    <x:row r="694">
      <x:c r="B694" s="46"/>
    </x:row>
    <x:row r="695">
      <x:c r="B695" s="46"/>
    </x:row>
    <x:row r="696">
      <x:c r="B696" s="46"/>
    </x:row>
    <x:row r="697">
      <x:c r="B697" s="46"/>
    </x:row>
    <x:row r="698">
      <x:c r="B698" s="46"/>
    </x:row>
    <x:row r="699">
      <x:c r="B699" s="46"/>
    </x:row>
    <x:row r="700">
      <x:c r="B700" s="46"/>
    </x:row>
    <x:row r="701">
      <x:c r="B701" s="46"/>
    </x:row>
    <x:row r="702">
      <x:c r="B702" s="46"/>
    </x:row>
    <x:row r="703">
      <x:c r="B703" s="46"/>
    </x:row>
    <x:row r="704">
      <x:c r="B704" s="46"/>
    </x:row>
    <x:row r="705">
      <x:c r="B705" s="46"/>
    </x:row>
    <x:row r="706">
      <x:c r="B706" s="46"/>
    </x:row>
    <x:row r="707">
      <x:c r="B707" s="46"/>
    </x:row>
    <x:row r="708">
      <x:c r="B708" s="46"/>
    </x:row>
    <x:row r="709">
      <x:c r="B709" s="46"/>
    </x:row>
    <x:row r="710">
      <x:c r="B710" s="46"/>
    </x:row>
    <x:row r="711">
      <x:c r="B711" s="46"/>
    </x:row>
    <x:row r="712">
      <x:c r="B712" s="46"/>
    </x:row>
    <x:row r="713">
      <x:c r="B713" s="46"/>
    </x:row>
    <x:row r="714">
      <x:c r="B714" s="46"/>
    </x:row>
    <x:row r="715">
      <x:c r="B715" s="46"/>
    </x:row>
    <x:row r="716">
      <x:c r="B716" s="46"/>
    </x:row>
    <x:row r="717">
      <x:c r="B717" s="46"/>
    </x:row>
    <x:row r="718">
      <x:c r="B718" s="46"/>
    </x:row>
    <x:row r="719">
      <x:c r="B719" s="46"/>
    </x:row>
    <x:row r="720">
      <x:c r="B720" s="46"/>
    </x:row>
    <x:row r="721">
      <x:c r="B721" s="46"/>
    </x:row>
    <x:row r="722">
      <x:c r="B722" s="46"/>
    </x:row>
    <x:row r="723">
      <x:c r="B723" s="46"/>
    </x:row>
    <x:row r="724">
      <x:c r="B724" s="46"/>
    </x:row>
    <x:row r="725">
      <x:c r="B725" s="46"/>
    </x:row>
    <x:row r="726">
      <x:c r="B726" s="46"/>
    </x:row>
    <x:row r="727">
      <x:c r="B727" s="46"/>
    </x:row>
    <x:row r="728">
      <x:c r="B728" s="46"/>
    </x:row>
    <x:row r="729">
      <x:c r="B729" s="46"/>
    </x:row>
    <x:row r="730">
      <x:c r="B730" s="46"/>
    </x:row>
    <x:row r="731">
      <x:c r="B731" s="46"/>
    </x:row>
    <x:row r="732">
      <x:c r="B732" s="46"/>
    </x:row>
    <x:row r="733">
      <x:c r="B733" s="46"/>
    </x:row>
    <x:row r="734">
      <x:c r="B734" s="46"/>
    </x:row>
    <x:row r="735">
      <x:c r="B735" s="46"/>
    </x:row>
    <x:row r="736">
      <x:c r="B736" s="46"/>
    </x:row>
    <x:row r="737">
      <x:c r="B737" s="46"/>
    </x:row>
    <x:row r="738">
      <x:c r="B738" s="46"/>
    </x:row>
    <x:row r="739">
      <x:c r="B739" s="46"/>
    </x:row>
    <x:row r="740">
      <x:c r="B740" s="46"/>
    </x:row>
    <x:row r="741">
      <x:c r="B741" s="46"/>
    </x:row>
    <x:row r="742">
      <x:c r="B742" s="46"/>
    </x:row>
    <x:row r="743">
      <x:c r="B743" s="46"/>
    </x:row>
    <x:row r="744">
      <x:c r="B744" s="46"/>
    </x:row>
    <x:row r="745">
      <x:c r="B745" s="46"/>
    </x:row>
    <x:row r="746">
      <x:c r="B746" s="46"/>
    </x:row>
    <x:row r="747">
      <x:c r="B747" s="46"/>
    </x:row>
    <x:row r="748">
      <x:c r="B748" s="46"/>
    </x:row>
    <x:row r="749">
      <x:c r="B749" s="46"/>
    </x:row>
    <x:row r="750">
      <x:c r="B750" s="46"/>
    </x:row>
    <x:row r="751">
      <x:c r="B751" s="46"/>
    </x:row>
    <x:row r="752">
      <x:c r="B752" s="46"/>
    </x:row>
    <x:row r="753">
      <x:c r="B753" s="46"/>
    </x:row>
    <x:row r="754">
      <x:c r="B754" s="46"/>
    </x:row>
    <x:row r="755">
      <x:c r="B755" s="46"/>
    </x:row>
    <x:row r="756">
      <x:c r="B756" s="46"/>
    </x:row>
    <x:row r="757">
      <x:c r="B757" s="46"/>
    </x:row>
    <x:row r="758">
      <x:c r="B758" s="46"/>
    </x:row>
    <x:row r="759">
      <x:c r="B759" s="46"/>
    </x:row>
    <x:row r="760">
      <x:c r="B760" s="46"/>
    </x:row>
    <x:row r="761">
      <x:c r="B761" s="46"/>
    </x:row>
    <x:row r="762">
      <x:c r="B762" s="46"/>
    </x:row>
    <x:row r="763">
      <x:c r="B763" s="46"/>
    </x:row>
    <x:row r="764">
      <x:c r="B764" s="46"/>
    </x:row>
    <x:row r="765">
      <x:c r="B765" s="46"/>
    </x:row>
    <x:row r="766">
      <x:c r="B766" s="46"/>
    </x:row>
    <x:row r="767">
      <x:c r="B767" s="46"/>
    </x:row>
    <x:row r="768">
      <x:c r="B768" s="46"/>
    </x:row>
    <x:row r="769">
      <x:c r="B769" s="46"/>
    </x:row>
    <x:row r="770">
      <x:c r="B770" s="46"/>
    </x:row>
    <x:row r="771">
      <x:c r="B771" s="46"/>
    </x:row>
    <x:row r="772">
      <x:c r="B772" s="46"/>
    </x:row>
    <x:row r="773">
      <x:c r="B773" s="46"/>
    </x:row>
    <x:row r="774">
      <x:c r="B774" s="46"/>
    </x:row>
    <x:row r="775">
      <x:c r="B775" s="46"/>
    </x:row>
    <x:row r="776">
      <x:c r="B776" s="46"/>
    </x:row>
    <x:row r="777">
      <x:c r="B777" s="46"/>
    </x:row>
    <x:row r="778">
      <x:c r="B778" s="46"/>
    </x:row>
    <x:row r="779">
      <x:c r="B779" s="46"/>
    </x:row>
    <x:row r="780">
      <x:c r="B780" s="46"/>
    </x:row>
    <x:row r="781">
      <x:c r="B781" s="46"/>
    </x:row>
    <x:row r="782">
      <x:c r="B782" s="46"/>
    </x:row>
    <x:row r="783">
      <x:c r="B783" s="46"/>
    </x:row>
    <x:row r="784">
      <x:c r="B784" s="46"/>
    </x:row>
    <x:row r="785">
      <x:c r="B785" s="46"/>
    </x:row>
    <x:row r="786">
      <x:c r="B786" s="46"/>
    </x:row>
    <x:row r="787">
      <x:c r="B787" s="46"/>
    </x:row>
    <x:row r="788">
      <x:c r="B788" s="46"/>
    </x:row>
    <x:row r="789">
      <x:c r="B789" s="46"/>
    </x:row>
    <x:row r="790">
      <x:c r="B790" s="46"/>
    </x:row>
    <x:row r="791">
      <x:c r="B791" s="46"/>
    </x:row>
    <x:row r="792">
      <x:c r="B792" s="46"/>
    </x:row>
    <x:row r="793">
      <x:c r="B793" s="46"/>
    </x:row>
    <x:row r="794">
      <x:c r="B794" s="46"/>
    </x:row>
    <x:row r="795">
      <x:c r="B795" s="46"/>
    </x:row>
    <x:row r="796">
      <x:c r="B796" s="46"/>
    </x:row>
    <x:row r="797">
      <x:c r="B797" s="46"/>
    </x:row>
    <x:row r="798">
      <x:c r="B798" s="46"/>
    </x:row>
    <x:row r="799">
      <x:c r="B799" s="46"/>
    </x:row>
    <x:row r="800">
      <x:c r="B800" s="46"/>
    </x:row>
    <x:row r="801">
      <x:c r="B801" s="46"/>
    </x:row>
    <x:row r="802">
      <x:c r="B802" s="46"/>
    </x:row>
    <x:row r="803">
      <x:c r="B803" s="46"/>
    </x:row>
    <x:row r="804">
      <x:c r="B804" s="46"/>
    </x:row>
    <x:row r="805">
      <x:c r="B805" s="46"/>
    </x:row>
    <x:row r="806">
      <x:c r="B806" s="46"/>
    </x:row>
    <x:row r="807">
      <x:c r="B807" s="46"/>
    </x:row>
    <x:row r="808">
      <x:c r="B808" s="46"/>
    </x:row>
    <x:row r="809">
      <x:c r="B809" s="46"/>
    </x:row>
    <x:row r="810">
      <x:c r="B810" s="46"/>
    </x:row>
    <x:row r="811">
      <x:c r="B811" s="46"/>
    </x:row>
    <x:row r="812">
      <x:c r="B812" s="46"/>
    </x:row>
    <x:row r="813">
      <x:c r="B813" s="46"/>
    </x:row>
    <x:row r="814">
      <x:c r="B814" s="46"/>
    </x:row>
    <x:row r="815">
      <x:c r="B815" s="46"/>
    </x:row>
    <x:row r="816">
      <x:c r="B816" s="46"/>
    </x:row>
    <x:row r="817">
      <x:c r="B817" s="46"/>
    </x:row>
    <x:row r="818">
      <x:c r="B818" s="46"/>
    </x:row>
    <x:row r="819">
      <x:c r="B819" s="46"/>
    </x:row>
    <x:row r="820">
      <x:c r="B820" s="46"/>
    </x:row>
    <x:row r="821">
      <x:c r="B821" s="46"/>
    </x:row>
    <x:row r="822">
      <x:c r="B822" s="46"/>
    </x:row>
    <x:row r="823">
      <x:c r="B823" s="46"/>
    </x:row>
    <x:row r="824">
      <x:c r="B824" s="46"/>
    </x:row>
    <x:row r="825">
      <x:c r="B825" s="46"/>
    </x:row>
    <x:row r="826">
      <x:c r="B826" s="46"/>
    </x:row>
    <x:row r="827">
      <x:c r="B827" s="46"/>
    </x:row>
    <x:row r="828">
      <x:c r="B828" s="46"/>
    </x:row>
    <x:row r="829">
      <x:c r="B829" s="46"/>
    </x:row>
    <x:row r="830">
      <x:c r="B830" s="46"/>
    </x:row>
    <x:row r="831">
      <x:c r="B831" s="46"/>
    </x:row>
    <x:row r="832">
      <x:c r="B832" s="46"/>
    </x:row>
    <x:row r="833">
      <x:c r="B833" s="46"/>
    </x:row>
    <x:row r="834">
      <x:c r="B834" s="46"/>
    </x:row>
    <x:row r="835">
      <x:c r="B835" s="46"/>
    </x:row>
    <x:row r="836">
      <x:c r="B836" s="46"/>
    </x:row>
    <x:row r="837">
      <x:c r="B837" s="46"/>
    </x:row>
    <x:row r="838">
      <x:c r="B838" s="46"/>
    </x:row>
    <x:row r="839">
      <x:c r="B839" s="46"/>
    </x:row>
    <x:row r="840">
      <x:c r="B840" s="46"/>
    </x:row>
    <x:row r="841">
      <x:c r="B841" s="46"/>
    </x:row>
    <x:row r="842">
      <x:c r="B842" s="46"/>
    </x:row>
    <x:row r="843">
      <x:c r="B843" s="46"/>
    </x:row>
    <x:row r="844">
      <x:c r="B844" s="46"/>
    </x:row>
    <x:row r="845">
      <x:c r="B845" s="46"/>
    </x:row>
    <x:row r="846">
      <x:c r="B846" s="46"/>
    </x:row>
    <x:row r="847">
      <x:c r="B847" s="46"/>
    </x:row>
    <x:row r="848">
      <x:c r="B848" s="46"/>
    </x:row>
    <x:row r="849">
      <x:c r="B849" s="46"/>
    </x:row>
    <x:row r="850">
      <x:c r="B850" s="46"/>
    </x:row>
    <x:row r="851">
      <x:c r="B851" s="46"/>
    </x:row>
    <x:row r="852">
      <x:c r="B852" s="46"/>
    </x:row>
    <x:row r="853">
      <x:c r="B853" s="46"/>
    </x:row>
    <x:row r="854">
      <x:c r="B854" s="46"/>
    </x:row>
    <x:row r="855">
      <x:c r="B855" s="46"/>
    </x:row>
    <x:row r="856">
      <x:c r="B856" s="46"/>
    </x:row>
    <x:row r="857">
      <x:c r="B857" s="46"/>
    </x:row>
    <x:row r="858">
      <x:c r="B858" s="46"/>
    </x:row>
    <x:row r="859">
      <x:c r="B859" s="46"/>
    </x:row>
    <x:row r="860">
      <x:c r="B860" s="46"/>
    </x:row>
    <x:row r="861">
      <x:c r="B861" s="46"/>
    </x:row>
    <x:row r="862">
      <x:c r="B862" s="46"/>
    </x:row>
    <x:row r="863">
      <x:c r="B863" s="46"/>
    </x:row>
    <x:row r="864">
      <x:c r="B864" s="46"/>
    </x:row>
    <x:row r="865">
      <x:c r="B865" s="46"/>
    </x:row>
    <x:row r="866">
      <x:c r="B866" s="46"/>
    </x:row>
    <x:row r="867">
      <x:c r="B867" s="46"/>
    </x:row>
    <x:row r="868">
      <x:c r="B868" s="46"/>
    </x:row>
    <x:row r="869">
      <x:c r="B869" s="46"/>
    </x:row>
    <x:row r="870">
      <x:c r="B870" s="46"/>
    </x:row>
    <x:row r="871">
      <x:c r="B871" s="46"/>
    </x:row>
    <x:row r="872">
      <x:c r="B872" s="46"/>
    </x:row>
    <x:row r="873">
      <x:c r="B873" s="46"/>
    </x:row>
    <x:row r="874">
      <x:c r="B874" s="46"/>
    </x:row>
    <x:row r="875">
      <x:c r="B875" s="46"/>
    </x:row>
    <x:row r="876">
      <x:c r="B876" s="46"/>
    </x:row>
    <x:row r="877">
      <x:c r="B877" s="46"/>
    </x:row>
    <x:row r="878">
      <x:c r="B878" s="46"/>
    </x:row>
    <x:row r="879">
      <x:c r="B879" s="46"/>
    </x:row>
    <x:row r="880">
      <x:c r="B880" s="46"/>
    </x:row>
    <x:row r="881">
      <x:c r="B881" s="46"/>
    </x:row>
    <x:row r="882">
      <x:c r="B882" s="46"/>
    </x:row>
    <x:row r="883">
      <x:c r="B883" s="46"/>
    </x:row>
    <x:row r="884">
      <x:c r="B884" s="46"/>
    </x:row>
    <x:row r="885">
      <x:c r="B885" s="46"/>
    </x:row>
    <x:row r="886">
      <x:c r="B886" s="46"/>
    </x:row>
    <x:row r="887">
      <x:c r="B887" s="46"/>
    </x:row>
    <x:row r="888">
      <x:c r="B888" s="46"/>
    </x:row>
    <x:row r="889">
      <x:c r="B889" s="46"/>
    </x:row>
    <x:row r="890">
      <x:c r="B890" s="46"/>
    </x:row>
    <x:row r="891">
      <x:c r="B891" s="46"/>
    </x:row>
    <x:row r="892">
      <x:c r="B892" s="46"/>
    </x:row>
    <x:row r="893">
      <x:c r="B893" s="46"/>
    </x:row>
    <x:row r="894">
      <x:c r="B894" s="46"/>
    </x:row>
    <x:row r="895">
      <x:c r="B895" s="46"/>
    </x:row>
    <x:row r="896">
      <x:c r="B896" s="46"/>
    </x:row>
    <x:row r="897">
      <x:c r="B897" s="46"/>
    </x:row>
    <x:row r="898">
      <x:c r="B898" s="46"/>
    </x:row>
    <x:row r="899">
      <x:c r="B899" s="46"/>
    </x:row>
    <x:row r="900">
      <x:c r="B900" s="46"/>
    </x:row>
    <x:row r="901">
      <x:c r="B901" s="46"/>
    </x:row>
    <x:row r="902">
      <x:c r="B902" s="46"/>
    </x:row>
    <x:row r="903">
      <x:c r="B903" s="46"/>
    </x:row>
    <x:row r="904">
      <x:c r="B904" s="46"/>
    </x:row>
    <x:row r="905">
      <x:c r="B905" s="46"/>
    </x:row>
    <x:row r="906">
      <x:c r="B906" s="46"/>
    </x:row>
    <x:row r="907">
      <x:c r="B907" s="46"/>
    </x:row>
    <x:row r="908">
      <x:c r="B908" s="46"/>
    </x:row>
    <x:row r="909">
      <x:c r="B909" s="46"/>
    </x:row>
    <x:row r="910">
      <x:c r="B910" s="46"/>
    </x:row>
    <x:row r="911">
      <x:c r="B911" s="46"/>
    </x:row>
    <x:row r="912">
      <x:c r="B912" s="46"/>
    </x:row>
    <x:row r="913">
      <x:c r="B913" s="46"/>
    </x:row>
    <x:row r="914">
      <x:c r="B914" s="46"/>
    </x:row>
    <x:row r="915">
      <x:c r="B915" s="46"/>
    </x:row>
    <x:row r="916">
      <x:c r="B916" s="46"/>
    </x:row>
    <x:row r="917">
      <x:c r="B917" s="46"/>
    </x:row>
    <x:row r="918">
      <x:c r="B918" s="46"/>
    </x:row>
    <x:row r="919">
      <x:c r="B919" s="46"/>
    </x:row>
    <x:row r="920">
      <x:c r="B920" s="46"/>
    </x:row>
    <x:row r="921">
      <x:c r="B921" s="46"/>
    </x:row>
    <x:row r="922">
      <x:c r="B922" s="46"/>
    </x:row>
    <x:row r="923">
      <x:c r="B923" s="46"/>
    </x:row>
    <x:row r="924">
      <x:c r="B924" s="46"/>
    </x:row>
    <x:row r="925">
      <x:c r="B925" s="46"/>
    </x:row>
    <x:row r="926">
      <x:c r="B926" s="46"/>
    </x:row>
    <x:row r="927">
      <x:c r="B927" s="46"/>
    </x:row>
    <x:row r="928">
      <x:c r="B928" s="46"/>
    </x:row>
    <x:row r="929">
      <x:c r="B929" s="46"/>
    </x:row>
    <x:row r="930">
      <x:c r="B930" s="46"/>
    </x:row>
    <x:row r="931">
      <x:c r="B931" s="46"/>
    </x:row>
    <x:row r="932">
      <x:c r="B932" s="46"/>
    </x:row>
    <x:row r="933">
      <x:c r="B933" s="46"/>
    </x:row>
    <x:row r="934">
      <x:c r="B934" s="46"/>
    </x:row>
    <x:row r="935">
      <x:c r="B935" s="46"/>
    </x:row>
    <x:row r="936">
      <x:c r="B936" s="46"/>
    </x:row>
    <x:row r="937">
      <x:c r="B937" s="46"/>
    </x:row>
    <x:row r="938">
      <x:c r="B938" s="46"/>
    </x:row>
    <x:row r="939">
      <x:c r="B939" s="46"/>
    </x:row>
    <x:row r="940">
      <x:c r="B940" s="46"/>
    </x:row>
    <x:row r="941">
      <x:c r="B941" s="46"/>
    </x:row>
    <x:row r="942">
      <x:c r="B942" s="46"/>
    </x:row>
    <x:row r="943">
      <x:c r="B943" s="46"/>
    </x:row>
    <x:row r="944">
      <x:c r="B944" s="46"/>
    </x:row>
    <x:row r="945">
      <x:c r="B945" s="46"/>
    </x:row>
    <x:row r="946">
      <x:c r="B946" s="46"/>
    </x:row>
    <x:row r="947">
      <x:c r="B947" s="46"/>
    </x:row>
    <x:row r="948">
      <x:c r="B948" s="46"/>
    </x:row>
    <x:row r="949">
      <x:c r="B949" s="46"/>
    </x:row>
    <x:row r="950">
      <x:c r="B950" s="46"/>
    </x:row>
    <x:row r="951">
      <x:c r="B951" s="46"/>
    </x:row>
    <x:row r="952">
      <x:c r="B952" s="46"/>
    </x:row>
    <x:row r="953">
      <x:c r="B953" s="46"/>
    </x:row>
    <x:row r="954">
      <x:c r="B954" s="46"/>
    </x:row>
    <x:row r="955">
      <x:c r="B955" s="46"/>
    </x:row>
    <x:row r="956">
      <x:c r="B956" s="46"/>
    </x:row>
    <x:row r="957">
      <x:c r="B957" s="46"/>
    </x:row>
    <x:row r="958">
      <x:c r="B958" s="46"/>
    </x:row>
    <x:row r="959">
      <x:c r="B959" s="46"/>
    </x:row>
    <x:row r="960">
      <x:c r="B960" s="46"/>
    </x:row>
    <x:row r="961">
      <x:c r="B961" s="46"/>
    </x:row>
    <x:row r="962">
      <x:c r="B962" s="46"/>
    </x:row>
    <x:row r="963">
      <x:c r="B963" s="46"/>
    </x:row>
    <x:row r="964">
      <x:c r="B964" s="46"/>
    </x:row>
    <x:row r="965">
      <x:c r="B965" s="46"/>
    </x:row>
    <x:row r="966">
      <x:c r="B966" s="46"/>
    </x:row>
    <x:row r="967">
      <x:c r="B967" s="46"/>
    </x:row>
    <x:row r="968">
      <x:c r="B968" s="46"/>
    </x:row>
    <x:row r="969">
      <x:c r="B969" s="46"/>
    </x:row>
    <x:row r="970">
      <x:c r="B970" s="46"/>
    </x:row>
    <x:row r="971">
      <x:c r="B971" s="46"/>
    </x:row>
    <x:row r="972">
      <x:c r="B972" s="46"/>
    </x:row>
    <x:row r="973">
      <x:c r="B973" s="46"/>
    </x:row>
    <x:row r="974">
      <x:c r="B974" s="46"/>
    </x:row>
    <x:row r="975">
      <x:c r="B975" s="46"/>
    </x:row>
    <x:row r="976">
      <x:c r="B976" s="46"/>
    </x:row>
    <x:row r="977">
      <x:c r="B977" s="46"/>
    </x:row>
    <x:row r="978">
      <x:c r="B978" s="46"/>
    </x:row>
    <x:row r="979">
      <x:c r="B979" s="46"/>
    </x:row>
    <x:row r="980">
      <x:c r="B980" s="46"/>
    </x:row>
    <x:row r="981">
      <x:c r="B981" s="46"/>
    </x:row>
    <x:row r="982">
      <x:c r="B982" s="46"/>
    </x:row>
    <x:row r="983">
      <x:c r="B983" s="46"/>
    </x:row>
    <x:row r="984">
      <x:c r="B984" s="46"/>
    </x:row>
    <x:row r="985">
      <x:c r="B985" s="46"/>
    </x:row>
    <x:row r="986">
      <x:c r="B986" s="46"/>
    </x:row>
    <x:row r="987">
      <x:c r="B987" s="46"/>
    </x:row>
    <x:row r="988">
      <x:c r="B988" s="46"/>
    </x:row>
    <x:row r="989">
      <x:c r="B989" s="46"/>
    </x:row>
    <x:row r="990">
      <x:c r="B990" s="46"/>
    </x:row>
    <x:row r="991">
      <x:c r="B991" s="46"/>
    </x:row>
    <x:row r="992">
      <x:c r="B992" s="46"/>
    </x:row>
    <x:row r="993">
      <x:c r="B993" s="46"/>
    </x:row>
    <x:row r="994">
      <x:c r="B994" s="46"/>
    </x:row>
    <x:row r="995">
      <x:c r="B995" s="46"/>
    </x:row>
    <x:row r="996">
      <x:c r="B996" s="46"/>
    </x:row>
    <x:row r="997">
      <x:c r="B997" s="46"/>
    </x:row>
    <x:row r="998">
      <x:c r="B998" s="46"/>
    </x:row>
    <x:row r="999">
      <x:c r="B999" s="46"/>
    </x:row>
    <x:row r="1000">
      <x:c r="B1000" s="46"/>
    </x:row>
    <x:row r="1001">
      <x:c r="B1001" s="46"/>
    </x:row>
    <x:row r="1002">
      <x:c r="B1002" s="46"/>
    </x:row>
    <x:row r="1003">
      <x:c r="B1003" s="46"/>
    </x:row>
    <x:row r="1004">
      <x:c r="B1004" s="46"/>
    </x:row>
    <x:row r="1005">
      <x:c r="B1005" s="46"/>
    </x:row>
    <x:row r="1006">
      <x:c r="B1006" s="46"/>
    </x:row>
    <x:row r="1007">
      <x:c r="B1007" s="46"/>
    </x:row>
    <x:row r="1008">
      <x:c r="B1008" s="46"/>
    </x:row>
    <x:row r="1009">
      <x:c r="B1009" s="46"/>
    </x:row>
    <x:row r="1010">
      <x:c r="B1010" s="46"/>
    </x:row>
    <x:row r="1011">
      <x:c r="B1011" s="46"/>
    </x:row>
    <x:row r="1012">
      <x:c r="B1012" s="46"/>
    </x:row>
    <x:row r="1013">
      <x:c r="B1013" s="46"/>
    </x:row>
    <x:row r="1014">
      <x:c r="B1014" s="46"/>
    </x:row>
    <x:row r="1015">
      <x:c r="B1015" s="46"/>
    </x:row>
    <x:row r="1016">
      <x:c r="B1016" s="46"/>
    </x:row>
    <x:row r="1017">
      <x:c r="B1017" s="46"/>
    </x:row>
    <x:row r="1018">
      <x:c r="B1018" s="46"/>
    </x:row>
    <x:row r="1019">
      <x:c r="B1019" s="46"/>
    </x:row>
    <x:row r="1020">
      <x:c r="B1020" s="46"/>
    </x:row>
    <x:row r="1021">
      <x:c r="B1021" s="46"/>
    </x:row>
    <x:row r="1022">
      <x:c r="B1022" s="46"/>
    </x:row>
    <x:row r="1023">
      <x:c r="B1023" s="46"/>
    </x:row>
    <x:row r="1024">
      <x:c r="B1024" s="46"/>
    </x:row>
    <x:row r="1025">
      <x:c r="B1025" s="46"/>
    </x:row>
    <x:row r="1026">
      <x:c r="B1026" s="46"/>
    </x:row>
    <x:row r="1027">
      <x:c r="B1027" s="46"/>
    </x:row>
    <x:row r="1028">
      <x:c r="B1028" s="46"/>
    </x:row>
    <x:row r="1029">
      <x:c r="B1029" s="46"/>
    </x:row>
    <x:row r="1030">
      <x:c r="B1030" s="46"/>
    </x:row>
    <x:row r="1031">
      <x:c r="B1031" s="46"/>
    </x:row>
    <x:row r="1032">
      <x:c r="B1032" s="46"/>
    </x:row>
    <x:row r="1033">
      <x:c r="B1033" s="46"/>
    </x:row>
    <x:row r="1034">
      <x:c r="B1034" s="46"/>
    </x:row>
    <x:row r="1035">
      <x:c r="B1035" s="46"/>
    </x:row>
    <x:row r="1036">
      <x:c r="B1036" s="46"/>
    </x:row>
    <x:row r="1037">
      <x:c r="B1037" s="46"/>
    </x:row>
    <x:row r="1038">
      <x:c r="B1038" s="46"/>
    </x:row>
    <x:row r="1039">
      <x:c r="B1039" s="46"/>
    </x:row>
    <x:row r="1040">
      <x:c r="B1040" s="46"/>
    </x:row>
    <x:row r="1041">
      <x:c r="B1041" s="46"/>
    </x:row>
    <x:row r="1042">
      <x:c r="B1042" s="46"/>
    </x:row>
    <x:row r="1043">
      <x:c r="B1043" s="46"/>
    </x:row>
    <x:row r="1044">
      <x:c r="B1044" s="46"/>
    </x:row>
    <x:row r="1045">
      <x:c r="B1045" s="46"/>
    </x:row>
    <x:row r="1046">
      <x:c r="B1046" s="46"/>
    </x:row>
    <x:row r="1047">
      <x:c r="B1047" s="46"/>
    </x:row>
    <x:row r="1048">
      <x:c r="B1048" s="46"/>
    </x:row>
    <x:row r="1049">
      <x:c r="B1049" s="46"/>
    </x:row>
    <x:row r="1050">
      <x:c r="B1050" s="46"/>
    </x:row>
    <x:row r="1051">
      <x:c r="B1051" s="46"/>
    </x:row>
    <x:row r="1052">
      <x:c r="B1052" s="46"/>
    </x:row>
    <x:row r="1053">
      <x:c r="B1053" s="46"/>
    </x:row>
    <x:row r="1054">
      <x:c r="B1054" s="46"/>
    </x:row>
    <x:row r="1055">
      <x:c r="B1055" s="46"/>
    </x:row>
    <x:row r="1056">
      <x:c r="B1056" s="46"/>
    </x:row>
    <x:row r="1057">
      <x:c r="B1057" s="46"/>
    </x:row>
    <x:row r="1058">
      <x:c r="B1058" s="46"/>
    </x:row>
    <x:row r="1059">
      <x:c r="B1059" s="46"/>
    </x:row>
    <x:row r="1060">
      <x:c r="B1060" s="46"/>
    </x:row>
    <x:row r="1061">
      <x:c r="B1061" s="46"/>
    </x:row>
    <x:row r="1062">
      <x:c r="B1062" s="46"/>
    </x:row>
    <x:row r="1063">
      <x:c r="B1063" s="46"/>
    </x:row>
    <x:row r="1064">
      <x:c r="B1064" s="46"/>
    </x:row>
    <x:row r="1065">
      <x:c r="B1065" s="46"/>
    </x:row>
    <x:row r="1066">
      <x:c r="B1066" s="46"/>
    </x:row>
    <x:row r="1067">
      <x:c r="B1067" s="46"/>
    </x:row>
    <x:row r="1068">
      <x:c r="B1068" s="46"/>
    </x:row>
    <x:row r="1069">
      <x:c r="B1069" s="46"/>
    </x:row>
    <x:row r="1070">
      <x:c r="B1070" s="46"/>
    </x:row>
    <x:row r="1071">
      <x:c r="B1071" s="46"/>
    </x:row>
    <x:row r="1072">
      <x:c r="B1072" s="46"/>
    </x:row>
    <x:row r="1073">
      <x:c r="B1073" s="46"/>
    </x:row>
    <x:row r="1074">
      <x:c r="B1074" s="46"/>
    </x:row>
    <x:row r="1075">
      <x:c r="B1075" s="46"/>
    </x:row>
    <x:row r="1076">
      <x:c r="B1076" s="46"/>
    </x:row>
    <x:row r="1077">
      <x:c r="B1077" s="46"/>
    </x:row>
    <x:row r="1078">
      <x:c r="B1078" s="46"/>
    </x:row>
    <x:row r="1079">
      <x:c r="B1079" s="46"/>
    </x:row>
    <x:row r="1080">
      <x:c r="B1080" s="46"/>
    </x:row>
    <x:row r="1081">
      <x:c r="B1081" s="46"/>
    </x:row>
    <x:row r="1082">
      <x:c r="B1082" s="46"/>
    </x:row>
    <x:row r="1083">
      <x:c r="B1083" s="46"/>
    </x:row>
    <x:row r="1084">
      <x:c r="B1084" s="46"/>
    </x:row>
    <x:row r="1085">
      <x:c r="B1085" s="46"/>
    </x:row>
    <x:row r="1086">
      <x:c r="B1086" s="46"/>
    </x:row>
    <x:row r="1087">
      <x:c r="B1087" s="46"/>
    </x:row>
    <x:row r="1088">
      <x:c r="B1088" s="46"/>
    </x:row>
    <x:row r="1089">
      <x:c r="B1089" s="46"/>
    </x:row>
    <x:row r="1090">
      <x:c r="B1090" s="46"/>
    </x:row>
    <x:row r="1091">
      <x:c r="B1091" s="46"/>
    </x:row>
    <x:row r="1092">
      <x:c r="B1092" s="46"/>
    </x:row>
    <x:row r="1093">
      <x:c r="B1093" s="46"/>
    </x:row>
    <x:row r="1094">
      <x:c r="B1094" s="46"/>
    </x:row>
    <x:row r="1095">
      <x:c r="B1095" s="46"/>
    </x:row>
    <x:row r="1096">
      <x:c r="B1096" s="46"/>
    </x:row>
    <x:row r="1097">
      <x:c r="B1097" s="46"/>
    </x:row>
    <x:row r="1098">
      <x:c r="B1098" s="46"/>
    </x:row>
    <x:row r="1099">
      <x:c r="B1099" s="46"/>
    </x:row>
    <x:row r="1100">
      <x:c r="B1100" s="46"/>
    </x:row>
    <x:row r="1101">
      <x:c r="B1101" s="46"/>
    </x:row>
    <x:row r="1102">
      <x:c r="B1102" s="46"/>
    </x:row>
    <x:row r="1103">
      <x:c r="B1103" s="46"/>
    </x:row>
    <x:row r="1104">
      <x:c r="B1104" s="46"/>
    </x:row>
    <x:row r="1105">
      <x:c r="B1105" s="46"/>
    </x:row>
    <x:row r="1106">
      <x:c r="B1106" s="46"/>
    </x:row>
    <x:row r="1107">
      <x:c r="B1107" s="46"/>
    </x:row>
    <x:row r="1108">
      <x:c r="B1108" s="46"/>
    </x:row>
    <x:row r="1109">
      <x:c r="B1109" s="46"/>
    </x:row>
    <x:row r="1110">
      <x:c r="B1110" s="46"/>
    </x:row>
    <x:row r="1111">
      <x:c r="B1111" s="46"/>
    </x:row>
    <x:row r="1112">
      <x:c r="B1112" s="46"/>
    </x:row>
    <x:row r="1113">
      <x:c r="B1113" s="46"/>
    </x:row>
    <x:row r="1114">
      <x:c r="B1114" s="46"/>
    </x:row>
    <x:row r="1115">
      <x:c r="B1115" s="46"/>
    </x:row>
    <x:row r="1116">
      <x:c r="B1116" s="46"/>
    </x:row>
    <x:row r="1117">
      <x:c r="B1117" s="46"/>
    </x:row>
    <x:row r="1118">
      <x:c r="B1118" s="46"/>
    </x:row>
    <x:row r="1119">
      <x:c r="B1119" s="46"/>
    </x:row>
    <x:row r="1120">
      <x:c r="B1120" s="46"/>
    </x:row>
    <x:row r="1121">
      <x:c r="B1121" s="46"/>
    </x:row>
    <x:row r="1122">
      <x:c r="B1122" s="46"/>
    </x:row>
    <x:row r="1123">
      <x:c r="B1123" s="46"/>
    </x:row>
    <x:row r="1124">
      <x:c r="B1124" s="46"/>
    </x:row>
    <x:row r="1125">
      <x:c r="B1125" s="46"/>
    </x:row>
    <x:row r="1126">
      <x:c r="B1126" s="46"/>
    </x:row>
    <x:row r="1127">
      <x:c r="B1127" s="46"/>
    </x:row>
    <x:row r="1128">
      <x:c r="B1128" s="46"/>
    </x:row>
    <x:row r="1129">
      <x:c r="B1129" s="46"/>
    </x:row>
    <x:row r="1130">
      <x:c r="B1130" s="46"/>
    </x:row>
    <x:row r="1131">
      <x:c r="B1131" s="46"/>
    </x:row>
    <x:row r="1132">
      <x:c r="B1132" s="46"/>
    </x:row>
    <x:row r="1133">
      <x:c r="B1133" s="46"/>
    </x:row>
    <x:row r="1134">
      <x:c r="B1134" s="46"/>
    </x:row>
    <x:row r="1135">
      <x:c r="B1135" s="46"/>
    </x:row>
    <x:row r="1136">
      <x:c r="B1136" s="46"/>
    </x:row>
    <x:row r="1137">
      <x:c r="B1137" s="46"/>
    </x:row>
    <x:row r="1138">
      <x:c r="B1138" s="46"/>
    </x:row>
    <x:row r="1139">
      <x:c r="B1139" s="46"/>
    </x:row>
    <x:row r="1140">
      <x:c r="B1140" s="46"/>
    </x:row>
    <x:row r="1141">
      <x:c r="B1141" s="46"/>
    </x:row>
    <x:row r="1142">
      <x:c r="B1142" s="46"/>
    </x:row>
    <x:row r="1143">
      <x:c r="B1143" s="46"/>
    </x:row>
    <x:row r="1144">
      <x:c r="B1144" s="46"/>
    </x:row>
    <x:row r="1145">
      <x:c r="B1145" s="46"/>
    </x:row>
    <x:row r="1146">
      <x:c r="B1146" s="46"/>
    </x:row>
    <x:row r="1147">
      <x:c r="B1147" s="46"/>
    </x:row>
    <x:row r="1148">
      <x:c r="B1148" s="46"/>
    </x:row>
    <x:row r="1149">
      <x:c r="B1149" s="46"/>
    </x:row>
    <x:row r="1150">
      <x:c r="B1150" s="46"/>
    </x:row>
    <x:row r="1151">
      <x:c r="B1151" s="46"/>
    </x:row>
    <x:row r="1152">
      <x:c r="B1152" s="46"/>
    </x:row>
    <x:row r="1153">
      <x:c r="B1153" s="46"/>
    </x:row>
    <x:row r="1154">
      <x:c r="B1154" s="46"/>
    </x:row>
    <x:row r="1155">
      <x:c r="B1155" s="46"/>
    </x:row>
    <x:row r="1156">
      <x:c r="B1156" s="46"/>
    </x:row>
    <x:row r="1157">
      <x:c r="B1157" s="46"/>
    </x:row>
    <x:row r="1158">
      <x:c r="B1158" s="46"/>
    </x:row>
    <x:row r="1159">
      <x:c r="B1159" s="46"/>
    </x:row>
    <x:row r="1160">
      <x:c r="B1160" s="46"/>
    </x:row>
    <x:row r="1161">
      <x:c r="B1161" s="46"/>
    </x:row>
    <x:row r="1162">
      <x:c r="B1162" s="46"/>
    </x:row>
    <x:row r="1163">
      <x:c r="B1163" s="46"/>
    </x:row>
    <x:row r="1164">
      <x:c r="B1164" s="46"/>
    </x:row>
    <x:row r="1165">
      <x:c r="B1165" s="46"/>
    </x:row>
    <x:row r="1166">
      <x:c r="B1166" s="46"/>
    </x:row>
    <x:row r="1167">
      <x:c r="B1167" s="46"/>
    </x:row>
    <x:row r="1168">
      <x:c r="B1168" s="46"/>
    </x:row>
    <x:row r="1169">
      <x:c r="B1169" s="46"/>
    </x:row>
    <x:row r="1170">
      <x:c r="B1170" s="46"/>
    </x:row>
    <x:row r="1171">
      <x:c r="B1171" s="46"/>
    </x:row>
    <x:row r="1172">
      <x:c r="B1172" s="46"/>
    </x:row>
    <x:row r="1173">
      <x:c r="B1173" s="46"/>
    </x:row>
    <x:row r="1174">
      <x:c r="B1174" s="46"/>
    </x:row>
    <x:row r="1175">
      <x:c r="B1175" s="46"/>
    </x:row>
    <x:row r="1176">
      <x:c r="B1176" s="46"/>
    </x:row>
    <x:row r="1177">
      <x:c r="B1177" s="46"/>
    </x:row>
    <x:row r="1178">
      <x:c r="B1178" s="46"/>
    </x:row>
    <x:row r="1179">
      <x:c r="B1179" s="46"/>
    </x:row>
    <x:row r="1180">
      <x:c r="B1180" s="46"/>
    </x:row>
    <x:row r="1181">
      <x:c r="B1181" s="46"/>
    </x:row>
    <x:row r="1182">
      <x:c r="B1182" s="46"/>
    </x:row>
    <x:row r="1183">
      <x:c r="B1183" s="46"/>
    </x:row>
    <x:row r="1184">
      <x:c r="B1184" s="46"/>
    </x:row>
    <x:row r="1185">
      <x:c r="B1185" s="46"/>
    </x:row>
    <x:row r="1186">
      <x:c r="B1186" s="46"/>
    </x:row>
    <x:row r="1187">
      <x:c r="B1187" s="46"/>
    </x:row>
    <x:row r="1188">
      <x:c r="B1188" s="46"/>
    </x:row>
    <x:row r="1189">
      <x:c r="B1189" s="46"/>
    </x:row>
    <x:row r="1190">
      <x:c r="B1190" s="46"/>
    </x:row>
    <x:row r="1191">
      <x:c r="B1191" s="46"/>
    </x:row>
    <x:row r="1192">
      <x:c r="B1192" s="46"/>
    </x:row>
    <x:row r="1193">
      <x:c r="B1193" s="46"/>
    </x:row>
    <x:row r="1194">
      <x:c r="B1194" s="46"/>
    </x:row>
    <x:row r="1195">
      <x:c r="B1195" s="46"/>
    </x:row>
    <x:row r="1196">
      <x:c r="B1196" s="46"/>
    </x:row>
    <x:row r="1197">
      <x:c r="B1197" s="46"/>
    </x:row>
    <x:row r="1198">
      <x:c r="B1198" s="46"/>
    </x:row>
    <x:row r="1199">
      <x:c r="B1199" s="46"/>
    </x:row>
    <x:row r="1200">
      <x:c r="B1200" s="46"/>
    </x:row>
    <x:row r="1201">
      <x:c r="B1201" s="46"/>
    </x:row>
    <x:row r="1202">
      <x:c r="B1202" s="46"/>
    </x:row>
    <x:row r="1203">
      <x:c r="B1203" s="46"/>
    </x:row>
    <x:row r="1204">
      <x:c r="B1204" s="46"/>
    </x:row>
    <x:row r="1205">
      <x:c r="B1205" s="46"/>
    </x:row>
    <x:row r="1206">
      <x:c r="B1206" s="46"/>
    </x:row>
    <x:row r="1207">
      <x:c r="B1207" s="46"/>
    </x:row>
    <x:row r="1208">
      <x:c r="B1208" s="46"/>
    </x:row>
    <x:row r="1209">
      <x:c r="B1209" s="46"/>
    </x:row>
    <x:row r="1210">
      <x:c r="B1210" s="46"/>
    </x:row>
    <x:row r="1211">
      <x:c r="B1211" s="46"/>
    </x:row>
    <x:row r="1212">
      <x:c r="B1212" s="46"/>
    </x:row>
    <x:row r="1213">
      <x:c r="B1213" s="46"/>
    </x:row>
    <x:row r="1214">
      <x:c r="B1214" s="46"/>
    </x:row>
    <x:row r="1215">
      <x:c r="B1215" s="46"/>
    </x:row>
    <x:row r="1216">
      <x:c r="B1216" s="46"/>
    </x:row>
    <x:row r="1217">
      <x:c r="B1217" s="46"/>
    </x:row>
    <x:row r="1218">
      <x:c r="B1218" s="46"/>
    </x:row>
    <x:row r="1219">
      <x:c r="B1219" s="46"/>
    </x:row>
    <x:row r="1220">
      <x:c r="B1220" s="46"/>
    </x:row>
    <x:row r="1221">
      <x:c r="B1221" s="46"/>
    </x:row>
    <x:row r="1222">
      <x:c r="B1222" s="46"/>
    </x:row>
    <x:row r="1223">
      <x:c r="B1223" s="46"/>
    </x:row>
    <x:row r="1224">
      <x:c r="B1224" s="46"/>
    </x:row>
    <x:row r="1225">
      <x:c r="B1225" s="46"/>
    </x:row>
    <x:row r="1226">
      <x:c r="B1226" s="46"/>
    </x:row>
    <x:row r="1227">
      <x:c r="B1227" s="46"/>
    </x:row>
    <x:row r="1228">
      <x:c r="B1228" s="46"/>
    </x:row>
    <x:row r="1229">
      <x:c r="B1229" s="46"/>
    </x:row>
    <x:row r="1230">
      <x:c r="B1230" s="46"/>
    </x:row>
    <x:row r="1231">
      <x:c r="B1231" s="46"/>
    </x:row>
    <x:row r="1232">
      <x:c r="B1232" s="46"/>
    </x:row>
    <x:row r="1233">
      <x:c r="B1233" s="46"/>
    </x:row>
    <x:row r="1234">
      <x:c r="B1234" s="46"/>
    </x:row>
    <x:row r="1235">
      <x:c r="B1235" s="46"/>
    </x:row>
    <x:row r="1236">
      <x:c r="B1236" s="46"/>
    </x:row>
    <x:row r="1237">
      <x:c r="B1237" s="46"/>
    </x:row>
    <x:row r="1238">
      <x:c r="B1238" s="46"/>
    </x:row>
    <x:row r="1239">
      <x:c r="B1239" s="46"/>
    </x:row>
    <x:row r="1240">
      <x:c r="B1240" s="46"/>
    </x:row>
    <x:row r="1241">
      <x:c r="B1241" s="46"/>
    </x:row>
    <x:row r="1242">
      <x:c r="B1242" s="46"/>
    </x:row>
    <x:row r="1243">
      <x:c r="B1243" s="46"/>
    </x:row>
    <x:row r="1244">
      <x:c r="B1244" s="46"/>
    </x:row>
    <x:row r="1245">
      <x:c r="B1245" s="46"/>
    </x:row>
    <x:row r="1246">
      <x:c r="B1246" s="46"/>
    </x:row>
    <x:row r="1247">
      <x:c r="B1247" s="46"/>
    </x:row>
    <x:row r="1248">
      <x:c r="B1248" s="46"/>
    </x:row>
    <x:row r="1249">
      <x:c r="B1249" s="46"/>
    </x:row>
    <x:row r="1250">
      <x:c r="B1250" s="46"/>
    </x:row>
    <x:row r="1251">
      <x:c r="B1251" s="46"/>
    </x:row>
    <x:row r="1252">
      <x:c r="B1252" s="46"/>
    </x:row>
    <x:row r="1253">
      <x:c r="B1253" s="46"/>
    </x:row>
    <x:row r="1254">
      <x:c r="B1254" s="46"/>
    </x:row>
    <x:row r="1255">
      <x:c r="B1255" s="46"/>
    </x:row>
    <x:row r="1256">
      <x:c r="B1256" s="46"/>
    </x:row>
    <x:row r="1257">
      <x:c r="B1257" s="46"/>
    </x:row>
    <x:row r="1258">
      <x:c r="B1258" s="46"/>
    </x:row>
    <x:row r="1259">
      <x:c r="B1259" s="46"/>
    </x:row>
    <x:row r="1260">
      <x:c r="B1260" s="46"/>
    </x:row>
    <x:row r="1261">
      <x:c r="B1261" s="46"/>
    </x:row>
    <x:row r="1262">
      <x:c r="B1262" s="46"/>
    </x:row>
    <x:row r="1263">
      <x:c r="B1263" s="46"/>
    </x:row>
    <x:row r="1264">
      <x:c r="B1264" s="46"/>
    </x:row>
    <x:row r="1265">
      <x:c r="B1265" s="46"/>
    </x:row>
    <x:row r="1266">
      <x:c r="B1266" s="46"/>
    </x:row>
    <x:row r="1267">
      <x:c r="B1267" s="46"/>
    </x:row>
    <x:row r="1268">
      <x:c r="B1268" s="46"/>
    </x:row>
    <x:row r="1269">
      <x:c r="B1269" s="46"/>
    </x:row>
    <x:row r="1270">
      <x:c r="B1270" s="46"/>
    </x:row>
    <x:row r="1271">
      <x:c r="B1271" s="46"/>
    </x:row>
    <x:row r="1272">
      <x:c r="B1272" s="46"/>
    </x:row>
    <x:row r="1273">
      <x:c r="B1273" s="46"/>
    </x:row>
    <x:row r="1274">
      <x:c r="B1274" s="46"/>
    </x:row>
    <x:row r="1275">
      <x:c r="B1275" s="46"/>
    </x:row>
    <x:row r="1276">
      <x:c r="B1276" s="46"/>
    </x:row>
    <x:row r="1277">
      <x:c r="B1277" s="46"/>
    </x:row>
    <x:row r="1278">
      <x:c r="B1278" s="46"/>
    </x:row>
    <x:row r="1279">
      <x:c r="B1279" s="46"/>
    </x:row>
    <x:row r="1280">
      <x:c r="B1280" s="46"/>
    </x:row>
    <x:row r="1281">
      <x:c r="B1281" s="46"/>
    </x:row>
    <x:row r="1282">
      <x:c r="B1282" s="46"/>
    </x:row>
    <x:row r="1283">
      <x:c r="B1283" s="46"/>
    </x:row>
    <x:row r="1284">
      <x:c r="B1284" s="46"/>
    </x:row>
    <x:row r="1285">
      <x:c r="B1285" s="46"/>
    </x:row>
    <x:row r="1286">
      <x:c r="B1286" s="46"/>
    </x:row>
    <x:row r="1287">
      <x:c r="B1287" s="46"/>
    </x:row>
    <x:row r="1288">
      <x:c r="B1288" s="46"/>
    </x:row>
    <x:row r="1289">
      <x:c r="B1289" s="46"/>
    </x:row>
    <x:row r="1290">
      <x:c r="B1290" s="46"/>
    </x:row>
    <x:row r="1291">
      <x:c r="B1291" s="46"/>
    </x:row>
    <x:row r="1292">
      <x:c r="B1292" s="46"/>
    </x:row>
    <x:row r="1293">
      <x:c r="B1293" s="46"/>
    </x:row>
    <x:row r="1294">
      <x:c r="B1294" s="46"/>
    </x:row>
    <x:row r="1295">
      <x:c r="B1295" s="46"/>
    </x:row>
    <x:row r="1296">
      <x:c r="B1296" s="46"/>
    </x:row>
    <x:row r="1297">
      <x:c r="B1297" s="46"/>
    </x:row>
    <x:row r="1298">
      <x:c r="B1298" s="46"/>
    </x:row>
    <x:row r="1299">
      <x:c r="B1299" s="46"/>
    </x:row>
    <x:row r="1300">
      <x:c r="B1300" s="46"/>
    </x:row>
    <x:row r="1301">
      <x:c r="B1301" s="46"/>
    </x:row>
    <x:row r="1302">
      <x:c r="B1302" s="46"/>
    </x:row>
    <x:row r="1303">
      <x:c r="B1303" s="46"/>
    </x:row>
    <x:row r="1304">
      <x:c r="B1304" s="46"/>
    </x:row>
    <x:row r="1305">
      <x:c r="B1305" s="46"/>
    </x:row>
    <x:row r="1306">
      <x:c r="B1306" s="46"/>
    </x:row>
    <x:row r="1307">
      <x:c r="B1307" s="46"/>
    </x:row>
    <x:row r="1308">
      <x:c r="B1308" s="46"/>
    </x:row>
    <x:row r="1309">
      <x:c r="B1309" s="46"/>
    </x:row>
    <x:row r="1310">
      <x:c r="B1310" s="46"/>
    </x:row>
    <x:row r="1311">
      <x:c r="B1311" s="46"/>
    </x:row>
    <x:row r="1312">
      <x:c r="B1312" s="46"/>
    </x:row>
    <x:row r="1313">
      <x:c r="B1313" s="46"/>
    </x:row>
    <x:row r="1314">
      <x:c r="B1314" s="46"/>
    </x:row>
    <x:row r="1315">
      <x:c r="B1315" s="46"/>
    </x:row>
    <x:row r="1316">
      <x:c r="B1316" s="46"/>
    </x:row>
    <x:row r="1317">
      <x:c r="B1317" s="46"/>
    </x:row>
    <x:row r="1318">
      <x:c r="B1318" s="46"/>
    </x:row>
    <x:row r="1319">
      <x:c r="B1319" s="46"/>
    </x:row>
    <x:row r="1320">
      <x:c r="B1320" s="46"/>
    </x:row>
    <x:row r="1321">
      <x:c r="B1321" s="46"/>
    </x:row>
    <x:row r="1322">
      <x:c r="B1322" s="46"/>
    </x:row>
    <x:row r="1323">
      <x:c r="B1323" s="46"/>
    </x:row>
    <x:row r="1324">
      <x:c r="B1324" s="46"/>
    </x:row>
    <x:row r="1325">
      <x:c r="B1325" s="46"/>
    </x:row>
    <x:row r="1326">
      <x:c r="B1326" s="46"/>
    </x:row>
    <x:row r="1327">
      <x:c r="B1327" s="46"/>
    </x:row>
    <x:row r="1328">
      <x:c r="B1328" s="46"/>
    </x:row>
    <x:row r="1329">
      <x:c r="B1329" s="46"/>
    </x:row>
    <x:row r="1330">
      <x:c r="B1330" s="46"/>
    </x:row>
    <x:row r="1331">
      <x:c r="B1331" s="46"/>
    </x:row>
    <x:row r="1332">
      <x:c r="B1332" s="46"/>
    </x:row>
    <x:row r="1333">
      <x:c r="B1333" s="46"/>
    </x:row>
    <x:row r="1334">
      <x:c r="B1334" s="46"/>
    </x:row>
    <x:row r="1335">
      <x:c r="B1335" s="46"/>
    </x:row>
    <x:row r="1336">
      <x:c r="B1336" s="46"/>
    </x:row>
    <x:row r="1337">
      <x:c r="B1337" s="46"/>
    </x:row>
    <x:row r="1338">
      <x:c r="B1338" s="46"/>
    </x:row>
    <x:row r="1339">
      <x:c r="B1339" s="46"/>
    </x:row>
    <x:row r="1340">
      <x:c r="B1340" s="46"/>
    </x:row>
    <x:row r="1341">
      <x:c r="B1341" s="46"/>
    </x:row>
    <x:row r="1342">
      <x:c r="B1342" s="46"/>
    </x:row>
    <x:row r="1343">
      <x:c r="B1343" s="46"/>
    </x:row>
    <x:row r="1344">
      <x:c r="B1344" s="46"/>
    </x:row>
    <x:row r="1345">
      <x:c r="B1345" s="46"/>
    </x:row>
    <x:row r="1346">
      <x:c r="B1346" s="46"/>
    </x:row>
    <x:row r="1347">
      <x:c r="B1347" s="46"/>
    </x:row>
    <x:row r="1348">
      <x:c r="B1348" s="46"/>
    </x:row>
    <x:row r="1349">
      <x:c r="B1349" s="46"/>
    </x:row>
    <x:row r="1350">
      <x:c r="B1350" s="46"/>
    </x:row>
    <x:row r="1351">
      <x:c r="B1351" s="46"/>
    </x:row>
    <x:row r="1352">
      <x:c r="B1352" s="46"/>
    </x:row>
    <x:row r="1353">
      <x:c r="B1353" s="46"/>
    </x:row>
    <x:row r="1354">
      <x:c r="B1354" s="46"/>
    </x:row>
    <x:row r="1355">
      <x:c r="B1355" s="46"/>
    </x:row>
    <x:row r="1356">
      <x:c r="B1356" s="46"/>
    </x:row>
    <x:row r="1357">
      <x:c r="B1357" s="46"/>
    </x:row>
    <x:row r="1358">
      <x:c r="B1358" s="46"/>
    </x:row>
    <x:row r="1359">
      <x:c r="B1359" s="46"/>
    </x:row>
    <x:row r="1360">
      <x:c r="B1360" s="46"/>
    </x:row>
    <x:row r="1361">
      <x:c r="B1361" s="46"/>
    </x:row>
    <x:row r="1362">
      <x:c r="B1362" s="46"/>
    </x:row>
    <x:row r="1363">
      <x:c r="B1363" s="46"/>
    </x:row>
    <x:row r="1364">
      <x:c r="B1364" s="46"/>
    </x:row>
    <x:row r="1365">
      <x:c r="B1365" s="46"/>
    </x:row>
    <x:row r="1366">
      <x:c r="B1366" s="46"/>
    </x:row>
    <x:row r="1367">
      <x:c r="B1367" s="46"/>
    </x:row>
    <x:row r="1368">
      <x:c r="B1368" s="46"/>
    </x:row>
    <x:row r="1369">
      <x:c r="B1369" s="46"/>
    </x:row>
    <x:row r="1370">
      <x:c r="B1370" s="46"/>
    </x:row>
    <x:row r="1371">
      <x:c r="B1371" s="46"/>
    </x:row>
    <x:row r="1372">
      <x:c r="B1372" s="46"/>
    </x:row>
    <x:row r="1373">
      <x:c r="B1373" s="46"/>
    </x:row>
    <x:row r="1374">
      <x:c r="B1374" s="46"/>
    </x:row>
    <x:row r="1375">
      <x:c r="B1375" s="46"/>
    </x:row>
    <x:row r="1376">
      <x:c r="B1376" s="46"/>
    </x:row>
    <x:row r="1377">
      <x:c r="B1377" s="46"/>
    </x:row>
    <x:row r="1378">
      <x:c r="B1378" s="46"/>
    </x:row>
    <x:row r="1379">
      <x:c r="B1379" s="46"/>
    </x:row>
    <x:row r="1380">
      <x:c r="B1380" s="46"/>
    </x:row>
    <x:row r="1381">
      <x:c r="B1381" s="46"/>
    </x:row>
    <x:row r="1382">
      <x:c r="B1382" s="46"/>
    </x:row>
    <x:row r="1383">
      <x:c r="B1383" s="46"/>
    </x:row>
    <x:row r="1384">
      <x:c r="B1384" s="46"/>
    </x:row>
    <x:row r="1385">
      <x:c r="B1385" s="46"/>
    </x:row>
    <x:row r="1386">
      <x:c r="B1386" s="46"/>
    </x:row>
    <x:row r="1387">
      <x:c r="B1387" s="46"/>
    </x:row>
    <x:row r="1388">
      <x:c r="B1388" s="46"/>
    </x:row>
    <x:row r="1389">
      <x:c r="B1389" s="46"/>
    </x:row>
    <x:row r="1390">
      <x:c r="B1390" s="46"/>
    </x:row>
    <x:row r="1391">
      <x:c r="B1391" s="46"/>
    </x:row>
    <x:row r="1392">
      <x:c r="B1392" s="46"/>
    </x:row>
    <x:row r="1393">
      <x:c r="B1393" s="46"/>
    </x:row>
    <x:row r="1394">
      <x:c r="B1394" s="46"/>
    </x:row>
    <x:row r="1395">
      <x:c r="B1395" s="46"/>
    </x:row>
    <x:row r="1396">
      <x:c r="B1396" s="46"/>
    </x:row>
    <x:row r="1397">
      <x:c r="B1397" s="46"/>
    </x:row>
    <x:row r="1398">
      <x:c r="B1398" s="46"/>
    </x:row>
    <x:row r="1399">
      <x:c r="B1399" s="46"/>
    </x:row>
    <x:row r="1400">
      <x:c r="B1400" s="46"/>
    </x:row>
    <x:row r="1401">
      <x:c r="B1401" s="46"/>
    </x:row>
    <x:row r="1402">
      <x:c r="B1402" s="46"/>
    </x:row>
    <x:row r="1403">
      <x:c r="B1403" s="46"/>
    </x:row>
    <x:row r="1404">
      <x:c r="B1404" s="46"/>
    </x:row>
    <x:row r="1405">
      <x:c r="B1405" s="46"/>
    </x:row>
    <x:row r="1406">
      <x:c r="B1406" s="46"/>
    </x:row>
    <x:row r="1407">
      <x:c r="B1407" s="46"/>
    </x:row>
    <x:row r="1408">
      <x:c r="B1408" s="46"/>
    </x:row>
    <x:row r="1409">
      <x:c r="B1409" s="46"/>
    </x:row>
    <x:row r="1410">
      <x:c r="B1410" s="46"/>
    </x:row>
    <x:row r="1411">
      <x:c r="B1411" s="46"/>
    </x:row>
    <x:row r="1412">
      <x:c r="B1412" s="46"/>
    </x:row>
    <x:row r="1413">
      <x:c r="B1413" s="46"/>
    </x:row>
    <x:row r="1414">
      <x:c r="B1414" s="46"/>
    </x:row>
    <x:row r="1415">
      <x:c r="B1415" s="46"/>
    </x:row>
    <x:row r="1416">
      <x:c r="B1416" s="46"/>
    </x:row>
    <x:row r="1417">
      <x:c r="B1417" s="46"/>
    </x:row>
    <x:row r="1418">
      <x:c r="B1418" s="46"/>
    </x:row>
    <x:row r="1419">
      <x:c r="B1419" s="46"/>
    </x:row>
    <x:row r="1420">
      <x:c r="B1420" s="46"/>
    </x:row>
    <x:row r="1421">
      <x:c r="B1421" s="46"/>
    </x:row>
    <x:row r="1422">
      <x:c r="B1422" s="46"/>
    </x:row>
    <x:row r="1423">
      <x:c r="B1423" s="46"/>
    </x:row>
    <x:row r="1424">
      <x:c r="B1424" s="46"/>
    </x:row>
    <x:row r="1425">
      <x:c r="B1425" s="46"/>
    </x:row>
    <x:row r="1426">
      <x:c r="B1426" s="46"/>
    </x:row>
    <x:row r="1427">
      <x:c r="B1427" s="46"/>
    </x:row>
    <x:row r="1428">
      <x:c r="B1428" s="46"/>
    </x:row>
    <x:row r="1429">
      <x:c r="B1429" s="46"/>
    </x:row>
    <x:row r="1430">
      <x:c r="B1430" s="46"/>
    </x:row>
    <x:row r="1431">
      <x:c r="B1431" s="46"/>
    </x:row>
    <x:row r="1432">
      <x:c r="B1432" s="46"/>
    </x:row>
    <x:row r="1433">
      <x:c r="B1433" s="46"/>
    </x:row>
    <x:row r="1434">
      <x:c r="B1434" s="46"/>
    </x:row>
    <x:row r="1435">
      <x:c r="B1435" s="46"/>
    </x:row>
    <x:row r="1436">
      <x:c r="B1436" s="46"/>
    </x:row>
    <x:row r="1437">
      <x:c r="B1437" s="46"/>
    </x:row>
    <x:row r="1438">
      <x:c r="B1438" s="46"/>
    </x:row>
    <x:row r="1439">
      <x:c r="B1439" s="46"/>
    </x:row>
    <x:row r="1440">
      <x:c r="B1440" s="46"/>
    </x:row>
    <x:row r="1441">
      <x:c r="B1441" s="46"/>
    </x:row>
    <x:row r="1442">
      <x:c r="B1442" s="46"/>
    </x:row>
    <x:row r="1443">
      <x:c r="B1443" s="46"/>
    </x:row>
    <x:row r="1444">
      <x:c r="B1444" s="46"/>
    </x:row>
    <x:row r="1445">
      <x:c r="B1445" s="46"/>
    </x:row>
    <x:row r="1446">
      <x:c r="B1446" s="46"/>
    </x:row>
    <x:row r="1447">
      <x:c r="B1447" s="46"/>
    </x:row>
    <x:row r="1448">
      <x:c r="B1448" s="46"/>
    </x:row>
    <x:row r="1449">
      <x:c r="B1449" s="46"/>
    </x:row>
    <x:row r="1450">
      <x:c r="B1450" s="46"/>
    </x:row>
    <x:row r="1451">
      <x:c r="B1451" s="46"/>
    </x:row>
    <x:row r="1452">
      <x:c r="B1452" s="46"/>
    </x:row>
    <x:row r="1453">
      <x:c r="B1453" s="46"/>
    </x:row>
    <x:row r="1454">
      <x:c r="B1454" s="46"/>
    </x:row>
    <x:row r="1455">
      <x:c r="B1455" s="46"/>
    </x:row>
    <x:row r="1456">
      <x:c r="B1456" s="46"/>
    </x:row>
    <x:row r="1457">
      <x:c r="B1457" s="46"/>
    </x:row>
    <x:row r="1458">
      <x:c r="B1458" s="46"/>
    </x:row>
    <x:row r="1459">
      <x:c r="B1459" s="46"/>
    </x:row>
    <x:row r="1460">
      <x:c r="B1460" s="46"/>
    </x:row>
    <x:row r="1461">
      <x:c r="B1461" s="46"/>
    </x:row>
    <x:row r="1462">
      <x:c r="B1462" s="46"/>
    </x:row>
    <x:row r="1463">
      <x:c r="B1463" s="46"/>
    </x:row>
    <x:row r="1464">
      <x:c r="B1464" s="46"/>
    </x:row>
    <x:row r="1465">
      <x:c r="B1465" s="46"/>
    </x:row>
    <x:row r="1466">
      <x:c r="B1466" s="46"/>
    </x:row>
    <x:row r="1467">
      <x:c r="B1467" s="46"/>
    </x:row>
    <x:row r="1468">
      <x:c r="B1468" s="46"/>
    </x:row>
    <x:row r="1469">
      <x:c r="B1469" s="46"/>
    </x:row>
    <x:row r="1470">
      <x:c r="B1470" s="46"/>
    </x:row>
    <x:row r="1471">
      <x:c r="B1471" s="46"/>
    </x:row>
    <x:row r="1472">
      <x:c r="B1472" s="46"/>
    </x:row>
    <x:row r="1473">
      <x:c r="B1473" s="46"/>
    </x:row>
    <x:row r="1474">
      <x:c r="B1474" s="46"/>
    </x:row>
    <x:row r="1475">
      <x:c r="B1475" s="46"/>
    </x:row>
    <x:row r="1476">
      <x:c r="B1476" s="46"/>
    </x:row>
    <x:row r="1477">
      <x:c r="B1477" s="46"/>
    </x:row>
    <x:row r="1478">
      <x:c r="B1478" s="46"/>
    </x:row>
    <x:row r="1479">
      <x:c r="B1479" s="46"/>
    </x:row>
    <x:row r="1480">
      <x:c r="B1480" s="46"/>
    </x:row>
    <x:row r="1481">
      <x:c r="B1481" s="46"/>
    </x:row>
    <x:row r="1482">
      <x:c r="B1482" s="46"/>
    </x:row>
    <x:row r="1483">
      <x:c r="B1483" s="46"/>
    </x:row>
    <x:row r="1484">
      <x:c r="B1484" s="46"/>
    </x:row>
    <x:row r="1485">
      <x:c r="B1485" s="46"/>
    </x:row>
    <x:row r="1486">
      <x:c r="B1486" s="46"/>
    </x:row>
    <x:row r="1487">
      <x:c r="B1487" s="46"/>
    </x:row>
    <x:row r="1488">
      <x:c r="B1488" s="46"/>
    </x:row>
    <x:row r="1489">
      <x:c r="B1489" s="46"/>
    </x:row>
    <x:row r="1490">
      <x:c r="B1490" s="46"/>
    </x:row>
    <x:row r="1491">
      <x:c r="B1491" s="46"/>
    </x:row>
    <x:row r="1492">
      <x:c r="B1492" s="46"/>
    </x:row>
    <x:row r="1493">
      <x:c r="B1493" s="46"/>
    </x:row>
    <x:row r="1494">
      <x:c r="B1494" s="46"/>
    </x:row>
    <x:row r="1495">
      <x:c r="B1495" s="46"/>
    </x:row>
    <x:row r="1496">
      <x:c r="B1496" s="46"/>
    </x:row>
    <x:row r="1497">
      <x:c r="B1497" s="46"/>
    </x:row>
    <x:row r="1498">
      <x:c r="B1498" s="46"/>
    </x:row>
    <x:row r="1499">
      <x:c r="B1499" s="46"/>
    </x:row>
    <x:row r="1500">
      <x:c r="B1500" s="46"/>
    </x:row>
    <x:row r="1501">
      <x:c r="B1501" s="46"/>
    </x:row>
    <x:row r="1502">
      <x:c r="B1502" s="46"/>
    </x:row>
    <x:row r="1503">
      <x:c r="B1503" s="46"/>
    </x:row>
    <x:row r="1504">
      <x:c r="B1504" s="46"/>
    </x:row>
    <x:row r="1505">
      <x:c r="B1505" s="46"/>
    </x:row>
    <x:row r="1506">
      <x:c r="B1506" s="46"/>
    </x:row>
    <x:row r="1507">
      <x:c r="B1507" s="46"/>
    </x:row>
    <x:row r="1508">
      <x:c r="B1508" s="46"/>
    </x:row>
    <x:row r="1509">
      <x:c r="B1509" s="46"/>
    </x:row>
    <x:row r="1510">
      <x:c r="B1510" s="46"/>
    </x:row>
    <x:row r="1511">
      <x:c r="B1511" s="46"/>
    </x:row>
    <x:row r="1512">
      <x:c r="B1512" s="46"/>
    </x:row>
    <x:row r="1513">
      <x:c r="B1513" s="46"/>
    </x:row>
    <x:row r="1514">
      <x:c r="B1514" s="46"/>
    </x:row>
    <x:row r="1515">
      <x:c r="B1515" s="46"/>
    </x:row>
    <x:row r="1516">
      <x:c r="B1516" s="46"/>
    </x:row>
    <x:row r="1517">
      <x:c r="B1517" s="46"/>
    </x:row>
    <x:row r="1518">
      <x:c r="B1518" s="46"/>
    </x:row>
    <x:row r="1519">
      <x:c r="B1519" s="46"/>
    </x:row>
    <x:row r="1520">
      <x:c r="B1520" s="46"/>
    </x:row>
    <x:row r="1521">
      <x:c r="B1521" s="46"/>
    </x:row>
    <x:row r="1522">
      <x:c r="B1522" s="46"/>
    </x:row>
    <x:row r="1523">
      <x:c r="B1523" s="46"/>
    </x:row>
    <x:row r="1524">
      <x:c r="B1524" s="46"/>
    </x:row>
    <x:row r="1525">
      <x:c r="B1525" s="46"/>
    </x:row>
    <x:row r="1526">
      <x:c r="B1526" s="46"/>
    </x:row>
    <x:row r="1527">
      <x:c r="B1527" s="46"/>
    </x:row>
    <x:row r="1528">
      <x:c r="B1528" s="46"/>
    </x:row>
    <x:row r="1529">
      <x:c r="B1529" s="46"/>
    </x:row>
    <x:row r="1530">
      <x:c r="B1530" s="46"/>
    </x:row>
    <x:row r="1531">
      <x:c r="B1531" s="46"/>
    </x:row>
    <x:row r="1532">
      <x:c r="B1532" s="46"/>
    </x:row>
    <x:row r="1533">
      <x:c r="B1533" s="46"/>
    </x:row>
    <x:row r="1534">
      <x:c r="B1534" s="46"/>
    </x:row>
    <x:row r="1535">
      <x:c r="B1535" s="46"/>
    </x:row>
    <x:row r="1536">
      <x:c r="B1536" s="46"/>
    </x:row>
    <x:row r="1537">
      <x:c r="B1537" s="46"/>
    </x:row>
    <x:row r="1538">
      <x:c r="B1538" s="46"/>
    </x:row>
    <x:row r="1539">
      <x:c r="B1539" s="46"/>
    </x:row>
    <x:row r="1540">
      <x:c r="B1540" s="46"/>
    </x:row>
    <x:row r="1541">
      <x:c r="B1541" s="46"/>
    </x:row>
    <x:row r="1542">
      <x:c r="B1542" s="46"/>
    </x:row>
    <x:row r="1543">
      <x:c r="B1543" s="46"/>
    </x:row>
    <x:row r="1544">
      <x:c r="B1544" s="46"/>
    </x:row>
    <x:row r="1545">
      <x:c r="B1545" s="46"/>
    </x:row>
    <x:row r="1546">
      <x:c r="B1546" s="46"/>
    </x:row>
    <x:row r="1547">
      <x:c r="B1547" s="46"/>
    </x:row>
    <x:row r="1548">
      <x:c r="B1548" s="46"/>
    </x:row>
    <x:row r="1549">
      <x:c r="B1549" s="46"/>
    </x:row>
    <x:row r="1550">
      <x:c r="B1550" s="46"/>
    </x:row>
    <x:row r="1551">
      <x:c r="B1551" s="46"/>
    </x:row>
    <x:row r="1552">
      <x:c r="B1552" s="46"/>
    </x:row>
    <x:row r="1553">
      <x:c r="B1553" s="46"/>
    </x:row>
    <x:row r="1554">
      <x:c r="B1554" s="46"/>
    </x:row>
    <x:row r="1555">
      <x:c r="B1555" s="46"/>
    </x:row>
    <x:row r="1556">
      <x:c r="B1556" s="46"/>
    </x:row>
    <x:row r="1557">
      <x:c r="B1557" s="46"/>
    </x:row>
    <x:row r="1558">
      <x:c r="B1558" s="46"/>
    </x:row>
    <x:row r="1559">
      <x:c r="B1559" s="46"/>
    </x:row>
    <x:row r="1560">
      <x:c r="B1560" s="46"/>
    </x:row>
    <x:row r="1561">
      <x:c r="B1561" s="46"/>
    </x:row>
    <x:row r="1562">
      <x:c r="B1562" s="46"/>
    </x:row>
    <x:row r="1563">
      <x:c r="B1563" s="46"/>
    </x:row>
    <x:row r="1564">
      <x:c r="B1564" s="46"/>
    </x:row>
    <x:row r="1565">
      <x:c r="B1565" s="46"/>
    </x:row>
    <x:row r="1566">
      <x:c r="B1566" s="46"/>
    </x:row>
    <x:row r="1567">
      <x:c r="B1567" s="46"/>
    </x:row>
    <x:row r="1568">
      <x:c r="B1568" s="46"/>
    </x:row>
    <x:row r="1569">
      <x:c r="B1569" s="46"/>
    </x:row>
    <x:row r="1570">
      <x:c r="B1570" s="46"/>
    </x:row>
    <x:row r="1571">
      <x:c r="B1571" s="46"/>
    </x:row>
    <x:row r="1572">
      <x:c r="B1572" s="46"/>
    </x:row>
    <x:row r="1573">
      <x:c r="B1573" s="46"/>
    </x:row>
    <x:row r="1574">
      <x:c r="B1574" s="46"/>
    </x:row>
    <x:row r="1575">
      <x:c r="B1575" s="46"/>
    </x:row>
    <x:row r="1576">
      <x:c r="B1576" s="46"/>
    </x:row>
    <x:row r="1577">
      <x:c r="B1577" s="46"/>
    </x:row>
    <x:row r="1578">
      <x:c r="B1578" s="46"/>
    </x:row>
    <x:row r="1579">
      <x:c r="B1579" s="46"/>
    </x:row>
    <x:row r="1580">
      <x:c r="B1580" s="46"/>
    </x:row>
    <x:row r="1581">
      <x:c r="B1581" s="46"/>
    </x:row>
    <x:row r="1582">
      <x:c r="B1582" s="46"/>
    </x:row>
    <x:row r="1583">
      <x:c r="B1583" s="46"/>
    </x:row>
    <x:row r="1584">
      <x:c r="B1584" s="46"/>
    </x:row>
    <x:row r="1585">
      <x:c r="B1585" s="46"/>
    </x:row>
    <x:row r="1586">
      <x:c r="B1586" s="46"/>
    </x:row>
    <x:row r="1587">
      <x:c r="B1587" s="46"/>
    </x:row>
    <x:row r="1588">
      <x:c r="B1588" s="46"/>
    </x:row>
    <x:row r="1589">
      <x:c r="B1589" s="46"/>
    </x:row>
    <x:row r="1590">
      <x:c r="B1590" s="46"/>
    </x:row>
    <x:row r="1591">
      <x:c r="B1591" s="46"/>
    </x:row>
    <x:row r="1592">
      <x:c r="B1592" s="46"/>
    </x:row>
    <x:row r="1593">
      <x:c r="B1593" s="46"/>
    </x:row>
    <x:row r="1594">
      <x:c r="B1594" s="46"/>
    </x:row>
    <x:row r="1595">
      <x:c r="B1595" s="46"/>
    </x:row>
    <x:row r="1596">
      <x:c r="B1596" s="46"/>
    </x:row>
    <x:row r="1597">
      <x:c r="B1597" s="46"/>
    </x:row>
    <x:row r="1598">
      <x:c r="B1598" s="46"/>
    </x:row>
    <x:row r="1599">
      <x:c r="B1599" s="46"/>
    </x:row>
    <x:row r="1600">
      <x:c r="B1600" s="46"/>
    </x:row>
    <x:row r="1601">
      <x:c r="B1601" s="46"/>
    </x:row>
    <x:row r="1602">
      <x:c r="B1602" s="46"/>
    </x:row>
    <x:row r="1603">
      <x:c r="B1603" s="46"/>
    </x:row>
    <x:row r="1604">
      <x:c r="B1604" s="46"/>
    </x:row>
    <x:row r="1605">
      <x:c r="B1605" s="46"/>
    </x:row>
    <x:row r="1606">
      <x:c r="B1606" s="46"/>
    </x:row>
    <x:row r="1607">
      <x:c r="B1607" s="46"/>
    </x:row>
    <x:row r="1608">
      <x:c r="B1608" s="46"/>
    </x:row>
    <x:row r="1609">
      <x:c r="B1609" s="46"/>
    </x:row>
    <x:row r="1610">
      <x:c r="B1610" s="46"/>
    </x:row>
    <x:row r="1611">
      <x:c r="B1611" s="46"/>
    </x:row>
    <x:row r="1612">
      <x:c r="B1612" s="46"/>
    </x:row>
    <x:row r="1613">
      <x:c r="B1613" s="46"/>
    </x:row>
    <x:row r="1614">
      <x:c r="B1614" s="46"/>
    </x:row>
    <x:row r="1615">
      <x:c r="B1615" s="46"/>
    </x:row>
    <x:row r="1616">
      <x:c r="B1616" s="46"/>
    </x:row>
    <x:row r="1617">
      <x:c r="B1617" s="46"/>
    </x:row>
    <x:row r="1618">
      <x:c r="B1618" s="46"/>
    </x:row>
    <x:row r="1619">
      <x:c r="B1619" s="46"/>
    </x:row>
    <x:row r="1620">
      <x:c r="B1620" s="46"/>
    </x:row>
    <x:row r="1621">
      <x:c r="B1621" s="46"/>
    </x:row>
    <x:row r="1622">
      <x:c r="B1622" s="46"/>
    </x:row>
    <x:row r="1623">
      <x:c r="B1623" s="46"/>
    </x:row>
    <x:row r="1624">
      <x:c r="B1624" s="46"/>
    </x:row>
    <x:row r="1625">
      <x:c r="B1625" s="46"/>
    </x:row>
    <x:row r="1626">
      <x:c r="B1626" s="46"/>
    </x:row>
    <x:row r="1627">
      <x:c r="B1627" s="46"/>
    </x:row>
    <x:row r="1628">
      <x:c r="B1628" s="46"/>
    </x:row>
    <x:row r="1629">
      <x:c r="B1629" s="46"/>
    </x:row>
    <x:row r="1630">
      <x:c r="B1630" s="46"/>
    </x:row>
    <x:row r="1631">
      <x:c r="B1631" s="46"/>
    </x:row>
    <x:row r="1632">
      <x:c r="B1632" s="46"/>
    </x:row>
    <x:row r="1633">
      <x:c r="B1633" s="46"/>
    </x:row>
    <x:row r="1634">
      <x:c r="B1634" s="46"/>
    </x:row>
    <x:row r="1635">
      <x:c r="B1635" s="46"/>
    </x:row>
    <x:row r="1636">
      <x:c r="B1636" s="46"/>
    </x:row>
    <x:row r="1637">
      <x:c r="B1637" s="46"/>
    </x:row>
    <x:row r="1638">
      <x:c r="B1638" s="46"/>
    </x:row>
    <x:row r="1639">
      <x:c r="B1639" s="46"/>
    </x:row>
    <x:row r="1640">
      <x:c r="B1640" s="46"/>
    </x:row>
    <x:row r="1641">
      <x:c r="B1641" s="46"/>
    </x:row>
    <x:row r="1642">
      <x:c r="B1642" s="46"/>
    </x:row>
    <x:row r="1643">
      <x:c r="B1643" s="46"/>
    </x:row>
    <x:row r="1644">
      <x:c r="B1644" s="46"/>
    </x:row>
    <x:row r="1645">
      <x:c r="B1645" s="46"/>
    </x:row>
    <x:row r="1646">
      <x:c r="B1646" s="46"/>
    </x:row>
    <x:row r="1647">
      <x:c r="B1647" s="46"/>
    </x:row>
    <x:row r="1648">
      <x:c r="B1648" s="46"/>
    </x:row>
    <x:row r="1649">
      <x:c r="B1649" s="46"/>
    </x:row>
    <x:row r="1650">
      <x:c r="B1650" s="46"/>
    </x:row>
    <x:row r="1651">
      <x:c r="B1651" s="46"/>
    </x:row>
    <x:row r="1652">
      <x:c r="B1652" s="46"/>
    </x:row>
    <x:row r="1653">
      <x:c r="B1653" s="46"/>
    </x:row>
    <x:row r="1654">
      <x:c r="B1654" s="46"/>
    </x:row>
    <x:row r="1655">
      <x:c r="B1655" s="46"/>
    </x:row>
    <x:row r="1656">
      <x:c r="B1656" s="46"/>
    </x:row>
    <x:row r="1657">
      <x:c r="B1657" s="46"/>
    </x:row>
    <x:row r="1658">
      <x:c r="B1658" s="46"/>
    </x:row>
    <x:row r="1659">
      <x:c r="B1659" s="46"/>
    </x:row>
    <x:row r="1660">
      <x:c r="B1660" s="46"/>
    </x:row>
    <x:row r="1661">
      <x:c r="B1661" s="46"/>
    </x:row>
    <x:row r="1662">
      <x:c r="B1662" s="46"/>
    </x:row>
    <x:row r="1663">
      <x:c r="B1663" s="46"/>
    </x:row>
    <x:row r="1664">
      <x:c r="B1664" s="46"/>
    </x:row>
    <x:row r="1665">
      <x:c r="B1665" s="46"/>
    </x:row>
    <x:row r="1666">
      <x:c r="B1666" s="46"/>
    </x:row>
    <x:row r="1667">
      <x:c r="B1667" s="46"/>
    </x:row>
    <x:row r="1668">
      <x:c r="B1668" s="46"/>
    </x:row>
    <x:row r="1669">
      <x:c r="B1669" s="46"/>
    </x:row>
    <x:row r="1670">
      <x:c r="B1670" s="46"/>
    </x:row>
    <x:row r="1671">
      <x:c r="B1671" s="46"/>
    </x:row>
    <x:row r="1672">
      <x:c r="B1672" s="46"/>
    </x:row>
    <x:row r="1673">
      <x:c r="B1673" s="46"/>
    </x:row>
    <x:row r="1674">
      <x:c r="B1674" s="46"/>
    </x:row>
    <x:row r="1675">
      <x:c r="B1675" s="46"/>
    </x:row>
    <x:row r="1676">
      <x:c r="B1676" s="46"/>
    </x:row>
    <x:row r="1677">
      <x:c r="B1677" s="46"/>
    </x:row>
    <x:row r="1678">
      <x:c r="B1678" s="46"/>
    </x:row>
    <x:row r="1679">
      <x:c r="B1679" s="46"/>
    </x:row>
    <x:row r="1680">
      <x:c r="B1680" s="46"/>
    </x:row>
    <x:row r="1681">
      <x:c r="B1681" s="46"/>
    </x:row>
    <x:row r="1682">
      <x:c r="B1682" s="46"/>
    </x:row>
    <x:row r="1683">
      <x:c r="B1683" s="46"/>
    </x:row>
    <x:row r="1684">
      <x:c r="B1684" s="46"/>
    </x:row>
    <x:row r="1685">
      <x:c r="B1685" s="46"/>
    </x:row>
    <x:row r="1686">
      <x:c r="B1686" s="46"/>
    </x:row>
    <x:row r="1687">
      <x:c r="B1687" s="46"/>
    </x:row>
    <x:row r="1688">
      <x:c r="B1688" s="46"/>
    </x:row>
    <x:row r="1689">
      <x:c r="B1689" s="46"/>
    </x:row>
    <x:row r="1690">
      <x:c r="B1690" s="46"/>
    </x:row>
    <x:row r="1691">
      <x:c r="B1691" s="46"/>
    </x:row>
    <x:row r="1692">
      <x:c r="B1692" s="46"/>
    </x:row>
    <x:row r="1693">
      <x:c r="B1693" s="46"/>
    </x:row>
    <x:row r="1694">
      <x:c r="B1694" s="46"/>
    </x:row>
    <x:row r="1695">
      <x:c r="B1695" s="46"/>
    </x:row>
    <x:row r="1696">
      <x:c r="B1696" s="46"/>
    </x:row>
    <x:row r="1697">
      <x:c r="B1697" s="46"/>
    </x:row>
    <x:row r="1698">
      <x:c r="B1698" s="46"/>
    </x:row>
    <x:row r="1699">
      <x:c r="B1699" s="46"/>
    </x:row>
    <x:row r="1700">
      <x:c r="B1700" s="46"/>
    </x:row>
    <x:row r="1701">
      <x:c r="B1701" s="46"/>
    </x:row>
    <x:row r="1702">
      <x:c r="B1702" s="46"/>
    </x:row>
    <x:row r="1703">
      <x:c r="B1703" s="46"/>
    </x:row>
    <x:row r="1704">
      <x:c r="B1704" s="46"/>
    </x:row>
    <x:row r="1705">
      <x:c r="B1705" s="46"/>
    </x:row>
    <x:row r="1706">
      <x:c r="B1706" s="46"/>
    </x:row>
    <x:row r="1707">
      <x:c r="B1707" s="46"/>
    </x:row>
    <x:row r="1708">
      <x:c r="B1708" s="46"/>
    </x:row>
    <x:row r="1709">
      <x:c r="B1709" s="46"/>
    </x:row>
    <x:row r="1710">
      <x:c r="B1710" s="46"/>
    </x:row>
    <x:row r="1711">
      <x:c r="B1711" s="46"/>
    </x:row>
    <x:row r="1712">
      <x:c r="B1712" s="46"/>
    </x:row>
    <x:row r="1713">
      <x:c r="B1713" s="46"/>
    </x:row>
    <x:row r="1714">
      <x:c r="B1714" s="46"/>
    </x:row>
    <x:row r="1715">
      <x:c r="B1715" s="46"/>
    </x:row>
    <x:row r="1716">
      <x:c r="B1716" s="46"/>
    </x:row>
    <x:row r="1717">
      <x:c r="B1717" s="46"/>
    </x:row>
    <x:row r="1718">
      <x:c r="B1718" s="46"/>
    </x:row>
    <x:row r="1719">
      <x:c r="B1719" s="46"/>
    </x:row>
    <x:row r="1720">
      <x:c r="B1720" s="46"/>
    </x:row>
    <x:row r="1721">
      <x:c r="B1721" s="46"/>
    </x:row>
    <x:row r="1722">
      <x:c r="B1722" s="46"/>
    </x:row>
    <x:row r="1723">
      <x:c r="B1723" s="46"/>
    </x:row>
    <x:row r="1724">
      <x:c r="B1724" s="46"/>
    </x:row>
    <x:row r="1725">
      <x:c r="B1725" s="46"/>
    </x:row>
    <x:row r="1726">
      <x:c r="B1726" s="46"/>
    </x:row>
    <x:row r="1727">
      <x:c r="B1727" s="46"/>
    </x:row>
    <x:row r="1728">
      <x:c r="B1728" s="46"/>
    </x:row>
    <x:row r="1729">
      <x:c r="B1729" s="46"/>
    </x:row>
    <x:row r="1730">
      <x:c r="B1730" s="46"/>
    </x:row>
    <x:row r="1731">
      <x:c r="B1731" s="46"/>
    </x:row>
    <x:row r="1732">
      <x:c r="B1732" s="46"/>
    </x:row>
    <x:row r="1733">
      <x:c r="B1733" s="46"/>
    </x:row>
    <x:row r="1734">
      <x:c r="B1734" s="46"/>
    </x:row>
    <x:row r="1735">
      <x:c r="B1735" s="46"/>
    </x:row>
    <x:row r="1736">
      <x:c r="B1736" s="46"/>
    </x:row>
    <x:row r="1737">
      <x:c r="B1737" s="46"/>
    </x:row>
    <x:row r="1738">
      <x:c r="B1738" s="46"/>
    </x:row>
    <x:row r="1739">
      <x:c r="B1739" s="46"/>
    </x:row>
    <x:row r="1740">
      <x:c r="B1740" s="46"/>
    </x:row>
    <x:row r="1741">
      <x:c r="B1741" s="46"/>
    </x:row>
    <x:row r="1742">
      <x:c r="B1742" s="46"/>
    </x:row>
    <x:row r="1743">
      <x:c r="B1743" s="46"/>
    </x:row>
    <x:row r="1744">
      <x:c r="B1744" s="46"/>
    </x:row>
    <x:row r="1745">
      <x:c r="B1745" s="46"/>
    </x:row>
    <x:row r="1746">
      <x:c r="B1746" s="46"/>
    </x:row>
    <x:row r="1747">
      <x:c r="B1747" s="46"/>
    </x:row>
    <x:row r="1748">
      <x:c r="B1748" s="46"/>
    </x:row>
    <x:row r="1749">
      <x:c r="B1749" s="46"/>
    </x:row>
    <x:row r="1750">
      <x:c r="B1750" s="46"/>
    </x:row>
    <x:row r="1751">
      <x:c r="B1751" s="46"/>
    </x:row>
    <x:row r="1752">
      <x:c r="B1752" s="46"/>
    </x:row>
    <x:row r="1753">
      <x:c r="B1753" s="46"/>
    </x:row>
    <x:row r="1754">
      <x:c r="B1754" s="46"/>
    </x:row>
    <x:row r="1755">
      <x:c r="B1755" s="46"/>
    </x:row>
    <x:row r="1756">
      <x:c r="B1756" s="46"/>
    </x:row>
    <x:row r="1757">
      <x:c r="B1757" s="46"/>
    </x:row>
    <x:row r="1758">
      <x:c r="B1758" s="46"/>
    </x:row>
    <x:row r="1759">
      <x:c r="B1759" s="46"/>
    </x:row>
    <x:row r="1760">
      <x:c r="B1760" s="46"/>
    </x:row>
    <x:row r="1761">
      <x:c r="B1761" s="46"/>
    </x:row>
    <x:row r="1762">
      <x:c r="B1762" s="46"/>
    </x:row>
    <x:row r="1763">
      <x:c r="B1763" s="46"/>
    </x:row>
    <x:row r="1764">
      <x:c r="B1764" s="46"/>
    </x:row>
    <x:row r="1765">
      <x:c r="B1765" s="46"/>
    </x:row>
    <x:row r="1766">
      <x:c r="B1766" s="46"/>
    </x:row>
    <x:row r="1767">
      <x:c r="B1767" s="46"/>
    </x:row>
    <x:row r="1768">
      <x:c r="B1768" s="46"/>
    </x:row>
    <x:row r="1769">
      <x:c r="B1769" s="46"/>
    </x:row>
    <x:row r="1770">
      <x:c r="B1770" s="46"/>
    </x:row>
    <x:row r="1771">
      <x:c r="B1771" s="46"/>
    </x:row>
    <x:row r="1772">
      <x:c r="B1772" s="46"/>
    </x:row>
    <x:row r="1773">
      <x:c r="B1773" s="46"/>
    </x:row>
    <x:row r="1774">
      <x:c r="B1774" s="46"/>
    </x:row>
    <x:row r="1775">
      <x:c r="B1775" s="46"/>
    </x:row>
    <x:row r="1776">
      <x:c r="B1776" s="46"/>
    </x:row>
    <x:row r="1777">
      <x:c r="B1777" s="46"/>
    </x:row>
    <x:row r="1778">
      <x:c r="B1778" s="46"/>
    </x:row>
    <x:row r="1779">
      <x:c r="B1779" s="46"/>
    </x:row>
    <x:row r="1780">
      <x:c r="B1780" s="46"/>
    </x:row>
    <x:row r="1781">
      <x:c r="B1781" s="46"/>
    </x:row>
    <x:row r="1782">
      <x:c r="B1782" s="46"/>
    </x:row>
    <x:row r="1783">
      <x:c r="B1783" s="46"/>
    </x:row>
    <x:row r="1784">
      <x:c r="B1784" s="46"/>
    </x:row>
    <x:row r="1785">
      <x:c r="B1785" s="46"/>
    </x:row>
    <x:row r="1786">
      <x:c r="B1786" s="46"/>
    </x:row>
    <x:row r="1787">
      <x:c r="B1787" s="46"/>
    </x:row>
    <x:row r="1788">
      <x:c r="B1788" s="46"/>
    </x:row>
    <x:row r="1789">
      <x:c r="B1789" s="46"/>
    </x:row>
    <x:row r="1790">
      <x:c r="B1790" s="46"/>
    </x:row>
    <x:row r="1791">
      <x:c r="B1791" s="46"/>
    </x:row>
    <x:row r="1792">
      <x:c r="B1792" s="46"/>
    </x:row>
    <x:row r="1793">
      <x:c r="B1793" s="46"/>
    </x:row>
    <x:row r="1794">
      <x:c r="B1794" s="46"/>
    </x:row>
    <x:row r="1795">
      <x:c r="B1795" s="46"/>
    </x:row>
    <x:row r="1796">
      <x:c r="B1796" s="46"/>
    </x:row>
    <x:row r="1797">
      <x:c r="B1797" s="46"/>
    </x:row>
    <x:row r="1798">
      <x:c r="B1798" s="46"/>
    </x:row>
    <x:row r="1799">
      <x:c r="B1799" s="46"/>
    </x:row>
    <x:row r="1800">
      <x:c r="B1800" s="46"/>
    </x:row>
    <x:row r="1801">
      <x:c r="B1801" s="46"/>
    </x:row>
    <x:row r="1802">
      <x:c r="B1802" s="46"/>
    </x:row>
    <x:row r="1803">
      <x:c r="B1803" s="46"/>
    </x:row>
    <x:row r="1804">
      <x:c r="B1804" s="46"/>
    </x:row>
    <x:row r="1805">
      <x:c r="B1805" s="46"/>
    </x:row>
    <x:row r="1806">
      <x:c r="B1806" s="46"/>
    </x:row>
    <x:row r="1807">
      <x:c r="B1807" s="46"/>
    </x:row>
    <x:row r="1808">
      <x:c r="B1808" s="46"/>
    </x:row>
    <x:row r="1809">
      <x:c r="B1809" s="46"/>
    </x:row>
    <x:row r="1810">
      <x:c r="B1810" s="46"/>
    </x:row>
    <x:row r="1811">
      <x:c r="B1811" s="46"/>
    </x:row>
    <x:row r="1812">
      <x:c r="B1812" s="46"/>
    </x:row>
    <x:row r="1813">
      <x:c r="B1813" s="46"/>
    </x:row>
    <x:row r="1814">
      <x:c r="B1814" s="46"/>
    </x:row>
    <x:row r="1815">
      <x:c r="B1815" s="46"/>
    </x:row>
    <x:row r="1816">
      <x:c r="B1816" s="46"/>
    </x:row>
    <x:row r="1817">
      <x:c r="B1817" s="46"/>
    </x:row>
    <x:row r="1818">
      <x:c r="B1818" s="46"/>
    </x:row>
    <x:row r="1819">
      <x:c r="B1819" s="46"/>
    </x:row>
    <x:row r="1820">
      <x:c r="B1820" s="46"/>
    </x:row>
    <x:row r="1821">
      <x:c r="B1821" s="46"/>
    </x:row>
    <x:row r="1822">
      <x:c r="B1822" s="46"/>
    </x:row>
    <x:row r="1823">
      <x:c r="B1823" s="46"/>
    </x:row>
    <x:row r="1824">
      <x:c r="B1824" s="46"/>
    </x:row>
    <x:row r="1825">
      <x:c r="B1825" s="46"/>
    </x:row>
    <x:row r="1826">
      <x:c r="B1826" s="46"/>
    </x:row>
    <x:row r="1827">
      <x:c r="B1827" s="46"/>
    </x:row>
    <x:row r="1828">
      <x:c r="B1828" s="46"/>
    </x:row>
    <x:row r="1829">
      <x:c r="B1829" s="46"/>
    </x:row>
    <x:row r="1830">
      <x:c r="B1830" s="46"/>
    </x:row>
    <x:row r="1831">
      <x:c r="B1831" s="46"/>
    </x:row>
    <x:row r="1832">
      <x:c r="B1832" s="46"/>
    </x:row>
    <x:row r="1833">
      <x:c r="B1833" s="46"/>
    </x:row>
    <x:row r="1834">
      <x:c r="B1834" s="46"/>
    </x:row>
    <x:row r="1835">
      <x:c r="B1835" s="46"/>
    </x:row>
    <x:row r="1836">
      <x:c r="B1836" s="46"/>
    </x:row>
    <x:row r="1837">
      <x:c r="B1837" s="46"/>
    </x:row>
    <x:row r="1838">
      <x:c r="B1838" s="46"/>
    </x:row>
    <x:row r="1839">
      <x:c r="B1839" s="46"/>
    </x:row>
    <x:row r="1840">
      <x:c r="B1840" s="46"/>
    </x:row>
    <x:row r="1841">
      <x:c r="B1841" s="46"/>
    </x:row>
    <x:row r="1842">
      <x:c r="B1842" s="46"/>
    </x:row>
    <x:row r="1843">
      <x:c r="B1843" s="46"/>
    </x:row>
    <x:row r="1844">
      <x:c r="B1844" s="46"/>
    </x:row>
    <x:row r="1845">
      <x:c r="B1845" s="46"/>
    </x:row>
    <x:row r="1846">
      <x:c r="B1846" s="46"/>
    </x:row>
    <x:row r="1847">
      <x:c r="B1847" s="46"/>
    </x:row>
    <x:row r="1848">
      <x:c r="B1848" s="46"/>
    </x:row>
    <x:row r="1849">
      <x:c r="B1849" s="46"/>
    </x:row>
    <x:row r="1850">
      <x:c r="B1850" s="46"/>
    </x:row>
    <x:row r="1851">
      <x:c r="B1851" s="46"/>
    </x:row>
    <x:row r="1852">
      <x:c r="B1852" s="46"/>
    </x:row>
    <x:row r="1853">
      <x:c r="B1853" s="46"/>
    </x:row>
    <x:row r="1854">
      <x:c r="B1854" s="46"/>
    </x:row>
    <x:row r="1855">
      <x:c r="B1855" s="46"/>
    </x:row>
    <x:row r="1856">
      <x:c r="B1856" s="46"/>
    </x:row>
    <x:row r="1857">
      <x:c r="B1857" s="46"/>
    </x:row>
    <x:row r="1858">
      <x:c r="B1858" s="46"/>
    </x:row>
    <x:row r="1859">
      <x:c r="B1859" s="46"/>
    </x:row>
    <x:row r="1860">
      <x:c r="B1860" s="46"/>
    </x:row>
    <x:row r="1861">
      <x:c r="B1861" s="46"/>
    </x:row>
    <x:row r="1862">
      <x:c r="B1862" s="46"/>
    </x:row>
    <x:row r="1863">
      <x:c r="B1863" s="46"/>
    </x:row>
    <x:row r="1864">
      <x:c r="B1864" s="46"/>
    </x:row>
    <x:row r="1865">
      <x:c r="B1865" s="46"/>
    </x:row>
    <x:row r="1866">
      <x:c r="B1866" s="46"/>
    </x:row>
    <x:row r="1867">
      <x:c r="B1867" s="46"/>
    </x:row>
    <x:row r="1868">
      <x:c r="B1868" s="46"/>
    </x:row>
    <x:row r="1869">
      <x:c r="B1869" s="46"/>
    </x:row>
    <x:row r="1870">
      <x:c r="B1870" s="46"/>
    </x:row>
    <x:row r="1871">
      <x:c r="B1871" s="46"/>
    </x:row>
    <x:row r="1872">
      <x:c r="B1872" s="46"/>
    </x:row>
    <x:row r="1873">
      <x:c r="B1873" s="46"/>
    </x:row>
    <x:row r="1874">
      <x:c r="B1874" s="46"/>
    </x:row>
    <x:row r="1875">
      <x:c r="B1875" s="46"/>
    </x:row>
    <x:row r="1876">
      <x:c r="B1876" s="46"/>
    </x:row>
    <x:row r="1877">
      <x:c r="B1877" s="46"/>
    </x:row>
    <x:row r="1878">
      <x:c r="B1878" s="46"/>
    </x:row>
    <x:row r="1879">
      <x:c r="B1879" s="46"/>
    </x:row>
    <x:row r="1880">
      <x:c r="B1880" s="46"/>
    </x:row>
    <x:row r="1881">
      <x:c r="B1881" s="46"/>
    </x:row>
    <x:row r="1882">
      <x:c r="B1882" s="46"/>
    </x:row>
    <x:row r="1883">
      <x:c r="B1883" s="46"/>
    </x:row>
    <x:row r="1884">
      <x:c r="B1884" s="46"/>
    </x:row>
    <x:row r="1885">
      <x:c r="B1885" s="46"/>
    </x:row>
    <x:row r="1886">
      <x:c r="B1886" s="46"/>
    </x:row>
    <x:row r="1887">
      <x:c r="B1887" s="46"/>
    </x:row>
    <x:row r="1888">
      <x:c r="B1888" s="46"/>
    </x:row>
    <x:row r="1889">
      <x:c r="B1889" s="46"/>
    </x:row>
    <x:row r="1890">
      <x:c r="B1890" s="46"/>
    </x:row>
    <x:row r="1891">
      <x:c r="B1891" s="46"/>
    </x:row>
    <x:row r="1892">
      <x:c r="B1892" s="46"/>
    </x:row>
    <x:row r="1893">
      <x:c r="B1893" s="46"/>
    </x:row>
    <x:row r="1894">
      <x:c r="B1894" s="46"/>
    </x:row>
    <x:row r="1895">
      <x:c r="B1895" s="46"/>
    </x:row>
    <x:row r="1896">
      <x:c r="B1896" s="46"/>
    </x:row>
    <x:row r="1897">
      <x:c r="B1897" s="46"/>
    </x:row>
    <x:row r="1898">
      <x:c r="B1898" s="46"/>
    </x:row>
    <x:row r="1899">
      <x:c r="B1899" s="46"/>
    </x:row>
    <x:row r="1900">
      <x:c r="B1900" s="46"/>
    </x:row>
    <x:row r="1901">
      <x:c r="B1901" s="46"/>
    </x:row>
    <x:row r="1902">
      <x:c r="B1902" s="46"/>
    </x:row>
    <x:row r="1903">
      <x:c r="B1903" s="46"/>
    </x:row>
    <x:row r="1904">
      <x:c r="B1904" s="46"/>
    </x:row>
    <x:row r="1905">
      <x:c r="B1905" s="46"/>
    </x:row>
    <x:row r="1906">
      <x:c r="B1906" s="46"/>
    </x:row>
    <x:row r="1907">
      <x:c r="B1907" s="46"/>
    </x:row>
    <x:row r="1908">
      <x:c r="B1908" s="46"/>
    </x:row>
    <x:row r="1909">
      <x:c r="B1909" s="46"/>
    </x:row>
    <x:row r="1910">
      <x:c r="B1910" s="46"/>
    </x:row>
    <x:row r="1911">
      <x:c r="B1911" s="46"/>
    </x:row>
    <x:row r="1912">
      <x:c r="B1912" s="46"/>
    </x:row>
    <x:row r="1913">
      <x:c r="B1913" s="46"/>
    </x:row>
    <x:row r="1914">
      <x:c r="B1914" s="46"/>
    </x:row>
    <x:row r="1915">
      <x:c r="B1915" s="46"/>
    </x:row>
    <x:row r="1916">
      <x:c r="B1916" s="46"/>
    </x:row>
    <x:row r="1917">
      <x:c r="B1917" s="46"/>
    </x:row>
    <x:row r="1918">
      <x:c r="B1918" s="46"/>
    </x:row>
    <x:row r="1919">
      <x:c r="B1919" s="46"/>
    </x:row>
    <x:row r="1920">
      <x:c r="B1920" s="46"/>
    </x:row>
    <x:row r="1921">
      <x:c r="B1921" s="46"/>
    </x:row>
    <x:row r="1922">
      <x:c r="B1922" s="46"/>
    </x:row>
    <x:row r="1923">
      <x:c r="B1923" s="46"/>
    </x:row>
    <x:row r="1924">
      <x:c r="B1924" s="46"/>
    </x:row>
    <x:row r="1925">
      <x:c r="B1925" s="46"/>
    </x:row>
    <x:row r="1926">
      <x:c r="B1926" s="46"/>
    </x:row>
    <x:row r="1927">
      <x:c r="B1927" s="46"/>
    </x:row>
    <x:row r="1928">
      <x:c r="B1928" s="46"/>
    </x:row>
    <x:row r="1929">
      <x:c r="B1929" s="46"/>
    </x:row>
    <x:row r="1930">
      <x:c r="B1930" s="46"/>
    </x:row>
    <x:row r="1931">
      <x:c r="B1931" s="46"/>
    </x:row>
    <x:row r="1932">
      <x:c r="B1932" s="46"/>
    </x:row>
    <x:row r="1933">
      <x:c r="B1933" s="46"/>
    </x:row>
    <x:row r="1934">
      <x:c r="B1934" s="46"/>
    </x:row>
    <x:row r="1935">
      <x:c r="B1935" s="46"/>
    </x:row>
    <x:row r="1936">
      <x:c r="B1936" s="46"/>
    </x:row>
    <x:row r="1937">
      <x:c r="B1937" s="46"/>
    </x:row>
    <x:row r="1938">
      <x:c r="B1938" s="46"/>
    </x:row>
    <x:row r="1939">
      <x:c r="B1939" s="46"/>
    </x:row>
    <x:row r="1940">
      <x:c r="B1940" s="46"/>
    </x:row>
    <x:row r="1941">
      <x:c r="B1941" s="46"/>
    </x:row>
    <x:row r="1942">
      <x:c r="B1942" s="46"/>
    </x:row>
    <x:row r="1943">
      <x:c r="B1943" s="46"/>
    </x:row>
    <x:row r="1944">
      <x:c r="B1944" s="46"/>
    </x:row>
    <x:row r="1945">
      <x:c r="B1945" s="46"/>
    </x:row>
    <x:row r="1946">
      <x:c r="B1946" s="46"/>
    </x:row>
    <x:row r="1947">
      <x:c r="B1947" s="46"/>
    </x:row>
    <x:row r="1948">
      <x:c r="B1948" s="46"/>
    </x:row>
    <x:row r="1949">
      <x:c r="B1949" s="46"/>
    </x:row>
    <x:row r="1950">
      <x:c r="B1950" s="46"/>
    </x:row>
    <x:row r="1951">
      <x:c r="B1951" s="46"/>
    </x:row>
    <x:row r="1952">
      <x:c r="B1952" s="46"/>
    </x:row>
    <x:row r="1953">
      <x:c r="B1953" s="46"/>
    </x:row>
    <x:row r="1954">
      <x:c r="B1954" s="46"/>
    </x:row>
    <x:row r="1955">
      <x:c r="B1955" s="46"/>
    </x:row>
    <x:row r="1956">
      <x:c r="B1956" s="46"/>
    </x:row>
    <x:row r="1957">
      <x:c r="B1957" s="46"/>
    </x:row>
    <x:row r="1958">
      <x:c r="B1958" s="46"/>
    </x:row>
    <x:row r="1959">
      <x:c r="B1959" s="46"/>
    </x:row>
    <x:row r="1960">
      <x:c r="B1960" s="46"/>
    </x:row>
    <x:row r="1961">
      <x:c r="B1961" s="46"/>
    </x:row>
    <x:row r="1962">
      <x:c r="B1962" s="46"/>
    </x:row>
    <x:row r="1963">
      <x:c r="B1963" s="46"/>
    </x:row>
    <x:row r="1964">
      <x:c r="B1964" s="46"/>
    </x:row>
    <x:row r="1965">
      <x:c r="B1965" s="46"/>
    </x:row>
    <x:row r="1966">
      <x:c r="B1966" s="46"/>
    </x:row>
    <x:row r="1967">
      <x:c r="B1967" s="46"/>
    </x:row>
    <x:row r="1968">
      <x:c r="B1968" s="46"/>
    </x:row>
    <x:row r="1969">
      <x:c r="B1969" s="46"/>
    </x:row>
    <x:row r="1970">
      <x:c r="B1970" s="46"/>
    </x:row>
    <x:row r="1971">
      <x:c r="B1971" s="46"/>
    </x:row>
    <x:row r="1972">
      <x:c r="B1972" s="46"/>
    </x:row>
    <x:row r="1973">
      <x:c r="B1973" s="46"/>
    </x:row>
    <x:row r="1974">
      <x:c r="B1974" s="46"/>
    </x:row>
    <x:row r="1975">
      <x:c r="B1975" s="46"/>
    </x:row>
    <x:row r="1976">
      <x:c r="B1976" s="46"/>
    </x:row>
    <x:row r="1977">
      <x:c r="B1977" s="46"/>
    </x:row>
    <x:row r="1978">
      <x:c r="B1978" s="46"/>
    </x:row>
    <x:row r="1979">
      <x:c r="B1979" s="46"/>
    </x:row>
    <x:row r="1980">
      <x:c r="B1980" s="46"/>
    </x:row>
    <x:row r="1981">
      <x:c r="B1981" s="46"/>
    </x:row>
    <x:row r="1982">
      <x:c r="B1982" s="46"/>
    </x:row>
    <x:row r="1983">
      <x:c r="B1983" s="46"/>
    </x:row>
    <x:row r="1984">
      <x:c r="B1984" s="46"/>
    </x:row>
    <x:row r="1985">
      <x:c r="B1985" s="46"/>
    </x:row>
    <x:row r="1986">
      <x:c r="B1986" s="46"/>
    </x:row>
    <x:row r="1987">
      <x:c r="B1987" s="46"/>
    </x:row>
    <x:row r="1988">
      <x:c r="B1988" s="46"/>
    </x:row>
    <x:row r="1989">
      <x:c r="B1989" s="46"/>
    </x:row>
    <x:row r="1990">
      <x:c r="B1990" s="46"/>
    </x:row>
    <x:row r="1991">
      <x:c r="B1991" s="46"/>
    </x:row>
    <x:row r="1992">
      <x:c r="B1992" s="46"/>
    </x:row>
    <x:row r="1993">
      <x:c r="B1993" s="46"/>
    </x:row>
    <x:row r="1994">
      <x:c r="B1994" s="46"/>
    </x:row>
    <x:row r="1995">
      <x:c r="B1995" s="46"/>
    </x:row>
    <x:row r="1996">
      <x:c r="B1996" s="46"/>
    </x:row>
    <x:row r="1997">
      <x:c r="B1997" s="46"/>
    </x:row>
    <x:row r="1998">
      <x:c r="B1998" s="46"/>
    </x:row>
    <x:row r="1999">
      <x:c r="B1999" s="46"/>
    </x:row>
    <x:row r="2000">
      <x:c r="B2000" s="46"/>
    </x:row>
  </x:sheetData>
  <x:mergeCells>
    <x:mergeCell ref="A1:Z1"/>
    <x:mergeCell ref="A2:Z2"/>
  </x:mergeCells>
  <x:conditionalFormatting sqref="D5:D2000">
    <x:cfRule type="expression" dxfId="0" priority="1">
      <x:formula>$D5="OBSERVADO"</x:formula>
    </x:cfRule>
    <x:cfRule type="expression" dxfId="1" priority="2">
      <x:formula>$D5="PENDIENTE_CONDUCTOR"</x:formula>
    </x:cfRule>
    <x:cfRule type="expression" dxfId="2" priority="3">
      <x:formula>$D5="ASIGNADO"</x:formula>
    </x:cfRule>
    <x:cfRule type="expression" dxfId="3" priority="4">
      <x:formula>$D5="FINALIZADO"</x:formula>
    </x:cfRule>
  </x:conditionalFormatting>
  <x:dataValidations count="4">
    <x:dataValidation type="list" sqref="D5:D2000">
      <x:formula1>LISTAS!$A$5:$A$15</x:formula1>
    </x:dataValidation>
    <x:dataValidation type="list" sqref="E5:E2000">
      <x:formula1>LISTAS!$B$5:$B$8</x:formula1>
    </x:dataValidation>
    <x:dataValidation type="list" sqref="F5:F2000">
      <x:formula1>LISTAS!$C$5:$C$8</x:formula1>
    </x:dataValidation>
    <x:dataValidation type="list" sqref="T5:T2000">
      <x:formula1>LISTAS!$D$5:$D$8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c15fcea0db446c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24" hidden="0" customWidth="1"/>
    <x:col min="5" max="5" width="14" hidden="0" customWidth="1"/>
    <x:col min="6" max="6" width="14" hidden="0" customWidth="1"/>
    <x:col min="7" max="7" width="12" hidden="0" customWidth="1"/>
    <x:col min="8" max="8" width="34" hidden="0" customWidth="1"/>
    <x:col min="9" max="9" width="18" hidden="0" customWidth="1"/>
    <x:col min="10" max="10" width="14" hidden="0" customWidth="1"/>
  </x:cols>
  <x:sheetData>
    <x:row r="1" ht="30" customHeight="1">
      <x:c r="A1" s="5" t="str">
        <x:v>Registro de identidades</x:v>
      </x:c>
    </x:row>
    <x:row r="2" ht="22" customHeight="1">
      <x:c r="A2" s="13" t="str">
        <x:v>Pasajeros, destinatarios, remitentes y conductores vinculados a cada servicio.</x:v>
      </x:c>
    </x:row>
    <x:row r="4">
      <x:c r="A4" s="52" t="str">
        <x:v>ID_SERVICIO</x:v>
      </x:c>
      <x:c r="B4" s="52" t="str">
        <x:v>TIPO_SERVICIO</x:v>
      </x:c>
      <x:c r="C4" s="52" t="str">
        <x:v>ROL</x:v>
      </x:c>
      <x:c r="D4" s="52" t="str">
        <x:v>NOMBRE</x:v>
      </x:c>
      <x:c r="E4" s="52" t="str">
        <x:v>DNI</x:v>
      </x:c>
      <x:c r="F4" s="52" t="str">
        <x:v>TELEFONO</x:v>
      </x:c>
      <x:c r="G4" s="52" t="str">
        <x:v>VALIDADO</x:v>
      </x:c>
      <x:c r="H4" s="52" t="str">
        <x:v>OBSERVACION</x:v>
      </x:c>
      <x:c r="I4" s="52" t="str">
        <x:v>FECHA_REGISTRO</x:v>
      </x:c>
      <x:c r="J4" s="52" t="str">
        <x:v>CANAL_ORIGEN</x:v>
      </x:c>
    </x:row>
    <x:row r="5">
      <x:c r="A5" t="str">
        <x:v>BM-00002</x:v>
      </x:c>
      <x:c r="B5" t="str">
        <x:v>TURISMO</x:v>
      </x:c>
      <x:c r="C5" t="str">
        <x:v>PASAJERO_PRINCIPAL</x:v>
      </x:c>
      <x:c r="D5" t="str">
        <x:v>Elizabeth Ramos</x:v>
      </x:c>
      <x:c r="E5" t="str">
        <x:v>41016327</x:v>
      </x:c>
      <x:c r="F5" t="str">
        <x:v>988222333</x:v>
      </x:c>
      <x:c r="G5" t="str">
        <x:v>SI</x:v>
      </x:c>
      <x:c r="H5" t="str"/>
      <x:c r="I5" s="58" t="n">
        <x:v>46161.756944444445</x:v>
      </x:c>
      <x:c r="J5" t="str">
        <x:v>TEXTO</x:v>
      </x:c>
    </x:row>
    <x:row r="6">
      <x:c r="A6" t="str">
        <x:v>BM-00002</x:v>
      </x:c>
      <x:c r="B6" t="str">
        <x:v>TURISMO</x:v>
      </x:c>
      <x:c r="C6" t="str">
        <x:v>PASAJERO_ADICIONAL</x:v>
      </x:c>
      <x:c r="D6" t="str">
        <x:v>Zoila Tello</x:v>
      </x:c>
      <x:c r="E6" t="str">
        <x:v>15862130</x:v>
      </x:c>
      <x:c r="F6" t="str"/>
      <x:c r="G6" t="str">
        <x:v>SI</x:v>
      </x:c>
      <x:c r="H6" t="str"/>
      <x:c r="I6" s="58" t="n">
        <x:v>46161.75763888889</x:v>
      </x:c>
      <x:c r="J6" t="str">
        <x:v>TEXTO</x:v>
      </x:c>
    </x:row>
    <x:row r="7">
      <x:c r="A7" t="str">
        <x:v>BM-00001</x:v>
      </x:c>
      <x:c r="B7" t="str">
        <x:v>ENCOMIENDA</x:v>
      </x:c>
      <x:c r="C7" t="str">
        <x:v>DESTINATARIO</x:v>
      </x:c>
      <x:c r="D7" t="str">
        <x:v>Abel Salinas</x:v>
      </x:c>
      <x:c r="E7" t="str">
        <x:v>16874530</x:v>
      </x:c>
      <x:c r="F7" t="str"/>
      <x:c r="G7" t="str">
        <x:v>PENDIENTE</x:v>
      </x:c>
      <x:c r="H7" t="str">
        <x:v>Confirmado por audio/texto</x:v>
      </x:c>
      <x:c r="I7" s="58" t="n">
        <x:v>46161.77916666667</x:v>
      </x:c>
      <x:c r="J7" t="str">
        <x:v>AUDIO</x:v>
      </x:c>
    </x:row>
    <x:row r="8">
      <x:c r="I8" s="58"/>
    </x:row>
    <x:row r="9">
      <x:c r="I9" s="58"/>
    </x:row>
    <x:row r="10">
      <x:c r="I10" s="58"/>
    </x:row>
    <x:row r="11">
      <x:c r="I11" s="58"/>
    </x:row>
    <x:row r="12">
      <x:c r="I12" s="58"/>
    </x:row>
    <x:row r="13">
      <x:c r="I13" s="58"/>
    </x:row>
    <x:row r="14">
      <x:c r="I14" s="58"/>
    </x:row>
    <x:row r="15">
      <x:c r="I15" s="58"/>
    </x:row>
    <x:row r="16">
      <x:c r="I16" s="58"/>
    </x:row>
    <x:row r="17">
      <x:c r="I17" s="58"/>
    </x:row>
    <x:row r="18">
      <x:c r="I18" s="58"/>
    </x:row>
    <x:row r="19">
      <x:c r="I19" s="58"/>
    </x:row>
    <x:row r="20">
      <x:c r="I20" s="58"/>
    </x:row>
    <x:row r="21">
      <x:c r="I21" s="58"/>
    </x:row>
    <x:row r="22">
      <x:c r="I22" s="58"/>
    </x:row>
    <x:row r="23">
      <x:c r="I23" s="58"/>
    </x:row>
    <x:row r="24">
      <x:c r="I24" s="58"/>
    </x:row>
    <x:row r="25">
      <x:c r="I25" s="58"/>
    </x:row>
    <x:row r="26">
      <x:c r="I26" s="58"/>
    </x:row>
    <x:row r="27">
      <x:c r="I27" s="58"/>
    </x:row>
    <x:row r="28">
      <x:c r="I28" s="58"/>
    </x:row>
    <x:row r="29">
      <x:c r="I29" s="58"/>
    </x:row>
    <x:row r="30">
      <x:c r="I30" s="58"/>
    </x:row>
    <x:row r="31">
      <x:c r="I31" s="58"/>
    </x:row>
    <x:row r="32">
      <x:c r="I32" s="58"/>
    </x:row>
    <x:row r="33">
      <x:c r="I33" s="58"/>
    </x:row>
    <x:row r="34">
      <x:c r="I34" s="58"/>
    </x:row>
    <x:row r="35">
      <x:c r="I35" s="58"/>
    </x:row>
    <x:row r="36">
      <x:c r="I36" s="58"/>
    </x:row>
    <x:row r="37">
      <x:c r="I37" s="58"/>
    </x:row>
    <x:row r="38">
      <x:c r="I38" s="58"/>
    </x:row>
    <x:row r="39">
      <x:c r="I39" s="58"/>
    </x:row>
    <x:row r="40">
      <x:c r="I40" s="58"/>
    </x:row>
    <x:row r="41">
      <x:c r="I41" s="58"/>
    </x:row>
    <x:row r="42">
      <x:c r="I42" s="58"/>
    </x:row>
    <x:row r="43">
      <x:c r="I43" s="58"/>
    </x:row>
    <x:row r="44">
      <x:c r="I44" s="58"/>
    </x:row>
    <x:row r="45">
      <x:c r="I45" s="58"/>
    </x:row>
    <x:row r="46">
      <x:c r="I46" s="58"/>
    </x:row>
    <x:row r="47">
      <x:c r="I47" s="58"/>
    </x:row>
    <x:row r="48">
      <x:c r="I48" s="58"/>
    </x:row>
    <x:row r="49">
      <x:c r="I49" s="58"/>
    </x:row>
    <x:row r="50">
      <x:c r="I50" s="58"/>
    </x:row>
    <x:row r="51">
      <x:c r="I51" s="58"/>
    </x:row>
    <x:row r="52">
      <x:c r="I52" s="58"/>
    </x:row>
    <x:row r="53">
      <x:c r="I53" s="58"/>
    </x:row>
    <x:row r="54">
      <x:c r="I54" s="58"/>
    </x:row>
    <x:row r="55">
      <x:c r="I55" s="58"/>
    </x:row>
    <x:row r="56">
      <x:c r="I56" s="58"/>
    </x:row>
    <x:row r="57">
      <x:c r="I57" s="58"/>
    </x:row>
    <x:row r="58">
      <x:c r="I58" s="58"/>
    </x:row>
    <x:row r="59">
      <x:c r="I59" s="58"/>
    </x:row>
    <x:row r="60">
      <x:c r="I60" s="58"/>
    </x:row>
    <x:row r="61">
      <x:c r="I61" s="58"/>
    </x:row>
    <x:row r="62">
      <x:c r="I62" s="58"/>
    </x:row>
    <x:row r="63">
      <x:c r="I63" s="58"/>
    </x:row>
    <x:row r="64">
      <x:c r="I64" s="58"/>
    </x:row>
    <x:row r="65">
      <x:c r="I65" s="58"/>
    </x:row>
    <x:row r="66">
      <x:c r="I66" s="58"/>
    </x:row>
    <x:row r="67">
      <x:c r="I67" s="58"/>
    </x:row>
    <x:row r="68">
      <x:c r="I68" s="58"/>
    </x:row>
    <x:row r="69">
      <x:c r="I69" s="58"/>
    </x:row>
    <x:row r="70">
      <x:c r="I70" s="58"/>
    </x:row>
    <x:row r="71">
      <x:c r="I71" s="58"/>
    </x:row>
    <x:row r="72">
      <x:c r="I72" s="58"/>
    </x:row>
    <x:row r="73">
      <x:c r="I73" s="58"/>
    </x:row>
    <x:row r="74">
      <x:c r="I74" s="58"/>
    </x:row>
    <x:row r="75">
      <x:c r="I75" s="58"/>
    </x:row>
    <x:row r="76">
      <x:c r="I76" s="58"/>
    </x:row>
    <x:row r="77">
      <x:c r="I77" s="58"/>
    </x:row>
    <x:row r="78">
      <x:c r="I78" s="58"/>
    </x:row>
    <x:row r="79">
      <x:c r="I79" s="58"/>
    </x:row>
    <x:row r="80">
      <x:c r="I80" s="58"/>
    </x:row>
    <x:row r="81">
      <x:c r="I81" s="58"/>
    </x:row>
    <x:row r="82">
      <x:c r="I82" s="58"/>
    </x:row>
    <x:row r="83">
      <x:c r="I83" s="58"/>
    </x:row>
    <x:row r="84">
      <x:c r="I84" s="58"/>
    </x:row>
    <x:row r="85">
      <x:c r="I85" s="58"/>
    </x:row>
    <x:row r="86">
      <x:c r="I86" s="58"/>
    </x:row>
    <x:row r="87">
      <x:c r="I87" s="58"/>
    </x:row>
    <x:row r="88">
      <x:c r="I88" s="58"/>
    </x:row>
    <x:row r="89">
      <x:c r="I89" s="58"/>
    </x:row>
    <x:row r="90">
      <x:c r="I90" s="58"/>
    </x:row>
    <x:row r="91">
      <x:c r="I91" s="58"/>
    </x:row>
    <x:row r="92">
      <x:c r="I92" s="58"/>
    </x:row>
    <x:row r="93">
      <x:c r="I93" s="58"/>
    </x:row>
    <x:row r="94">
      <x:c r="I94" s="58"/>
    </x:row>
    <x:row r="95">
      <x:c r="I95" s="58"/>
    </x:row>
    <x:row r="96">
      <x:c r="I96" s="58"/>
    </x:row>
    <x:row r="97">
      <x:c r="I97" s="58"/>
    </x:row>
    <x:row r="98">
      <x:c r="I98" s="58"/>
    </x:row>
    <x:row r="99">
      <x:c r="I99" s="58"/>
    </x:row>
    <x:row r="100">
      <x:c r="I100" s="58"/>
    </x:row>
    <x:row r="101">
      <x:c r="I101" s="58"/>
    </x:row>
    <x:row r="102">
      <x:c r="I102" s="58"/>
    </x:row>
    <x:row r="103">
      <x:c r="I103" s="58"/>
    </x:row>
    <x:row r="104">
      <x:c r="I104" s="58"/>
    </x:row>
    <x:row r="105">
      <x:c r="I105" s="58"/>
    </x:row>
    <x:row r="106">
      <x:c r="I106" s="58"/>
    </x:row>
    <x:row r="107">
      <x:c r="I107" s="58"/>
    </x:row>
    <x:row r="108">
      <x:c r="I108" s="58"/>
    </x:row>
    <x:row r="109">
      <x:c r="I109" s="58"/>
    </x:row>
    <x:row r="110">
      <x:c r="I110" s="58"/>
    </x:row>
    <x:row r="111">
      <x:c r="I111" s="58"/>
    </x:row>
    <x:row r="112">
      <x:c r="I112" s="58"/>
    </x:row>
    <x:row r="113">
      <x:c r="I113" s="58"/>
    </x:row>
    <x:row r="114">
      <x:c r="I114" s="58"/>
    </x:row>
    <x:row r="115">
      <x:c r="I115" s="58"/>
    </x:row>
    <x:row r="116">
      <x:c r="I116" s="58"/>
    </x:row>
    <x:row r="117">
      <x:c r="I117" s="58"/>
    </x:row>
    <x:row r="118">
      <x:c r="I118" s="58"/>
    </x:row>
    <x:row r="119">
      <x:c r="I119" s="58"/>
    </x:row>
    <x:row r="120">
      <x:c r="I120" s="58"/>
    </x:row>
    <x:row r="121">
      <x:c r="I121" s="58"/>
    </x:row>
    <x:row r="122">
      <x:c r="I122" s="58"/>
    </x:row>
    <x:row r="123">
      <x:c r="I123" s="58"/>
    </x:row>
    <x:row r="124">
      <x:c r="I124" s="58"/>
    </x:row>
    <x:row r="125">
      <x:c r="I125" s="58"/>
    </x:row>
    <x:row r="126">
      <x:c r="I126" s="58"/>
    </x:row>
    <x:row r="127">
      <x:c r="I127" s="58"/>
    </x:row>
    <x:row r="128">
      <x:c r="I128" s="58"/>
    </x:row>
    <x:row r="129">
      <x:c r="I129" s="58"/>
    </x:row>
    <x:row r="130">
      <x:c r="I130" s="58"/>
    </x:row>
    <x:row r="131">
      <x:c r="I131" s="58"/>
    </x:row>
    <x:row r="132">
      <x:c r="I132" s="58"/>
    </x:row>
    <x:row r="133">
      <x:c r="I133" s="58"/>
    </x:row>
    <x:row r="134">
      <x:c r="I134" s="58"/>
    </x:row>
    <x:row r="135">
      <x:c r="I135" s="58"/>
    </x:row>
    <x:row r="136">
      <x:c r="I136" s="58"/>
    </x:row>
    <x:row r="137">
      <x:c r="I137" s="58"/>
    </x:row>
    <x:row r="138">
      <x:c r="I138" s="58"/>
    </x:row>
    <x:row r="139">
      <x:c r="I139" s="58"/>
    </x:row>
    <x:row r="140">
      <x:c r="I140" s="58"/>
    </x:row>
    <x:row r="141">
      <x:c r="I141" s="58"/>
    </x:row>
    <x:row r="142">
      <x:c r="I142" s="58"/>
    </x:row>
    <x:row r="143">
      <x:c r="I143" s="58"/>
    </x:row>
    <x:row r="144">
      <x:c r="I144" s="58"/>
    </x:row>
    <x:row r="145">
      <x:c r="I145" s="58"/>
    </x:row>
    <x:row r="146">
      <x:c r="I146" s="58"/>
    </x:row>
    <x:row r="147">
      <x:c r="I147" s="58"/>
    </x:row>
    <x:row r="148">
      <x:c r="I148" s="58"/>
    </x:row>
    <x:row r="149">
      <x:c r="I149" s="58"/>
    </x:row>
    <x:row r="150">
      <x:c r="I150" s="58"/>
    </x:row>
    <x:row r="151">
      <x:c r="I151" s="58"/>
    </x:row>
    <x:row r="152">
      <x:c r="I152" s="58"/>
    </x:row>
    <x:row r="153">
      <x:c r="I153" s="58"/>
    </x:row>
    <x:row r="154">
      <x:c r="I154" s="58"/>
    </x:row>
    <x:row r="155">
      <x:c r="I155" s="58"/>
    </x:row>
    <x:row r="156">
      <x:c r="I156" s="58"/>
    </x:row>
    <x:row r="157">
      <x:c r="I157" s="58"/>
    </x:row>
    <x:row r="158">
      <x:c r="I158" s="58"/>
    </x:row>
    <x:row r="159">
      <x:c r="I159" s="58"/>
    </x:row>
    <x:row r="160">
      <x:c r="I160" s="58"/>
    </x:row>
    <x:row r="161">
      <x:c r="I161" s="58"/>
    </x:row>
    <x:row r="162">
      <x:c r="I162" s="58"/>
    </x:row>
    <x:row r="163">
      <x:c r="I163" s="58"/>
    </x:row>
    <x:row r="164">
      <x:c r="I164" s="58"/>
    </x:row>
    <x:row r="165">
      <x:c r="I165" s="58"/>
    </x:row>
    <x:row r="166">
      <x:c r="I166" s="58"/>
    </x:row>
    <x:row r="167">
      <x:c r="I167" s="58"/>
    </x:row>
    <x:row r="168">
      <x:c r="I168" s="58"/>
    </x:row>
    <x:row r="169">
      <x:c r="I169" s="58"/>
    </x:row>
    <x:row r="170">
      <x:c r="I170" s="58"/>
    </x:row>
    <x:row r="171">
      <x:c r="I171" s="58"/>
    </x:row>
    <x:row r="172">
      <x:c r="I172" s="58"/>
    </x:row>
    <x:row r="173">
      <x:c r="I173" s="58"/>
    </x:row>
    <x:row r="174">
      <x:c r="I174" s="58"/>
    </x:row>
    <x:row r="175">
      <x:c r="I175" s="58"/>
    </x:row>
    <x:row r="176">
      <x:c r="I176" s="58"/>
    </x:row>
    <x:row r="177">
      <x:c r="I177" s="58"/>
    </x:row>
    <x:row r="178">
      <x:c r="I178" s="58"/>
    </x:row>
    <x:row r="179">
      <x:c r="I179" s="58"/>
    </x:row>
    <x:row r="180">
      <x:c r="I180" s="58"/>
    </x:row>
    <x:row r="181">
      <x:c r="I181" s="58"/>
    </x:row>
    <x:row r="182">
      <x:c r="I182" s="58"/>
    </x:row>
    <x:row r="183">
      <x:c r="I183" s="58"/>
    </x:row>
    <x:row r="184">
      <x:c r="I184" s="58"/>
    </x:row>
    <x:row r="185">
      <x:c r="I185" s="58"/>
    </x:row>
    <x:row r="186">
      <x:c r="I186" s="58"/>
    </x:row>
    <x:row r="187">
      <x:c r="I187" s="58"/>
    </x:row>
    <x:row r="188">
      <x:c r="I188" s="58"/>
    </x:row>
    <x:row r="189">
      <x:c r="I189" s="58"/>
    </x:row>
    <x:row r="190">
      <x:c r="I190" s="58"/>
    </x:row>
    <x:row r="191">
      <x:c r="I191" s="58"/>
    </x:row>
    <x:row r="192">
      <x:c r="I192" s="58"/>
    </x:row>
    <x:row r="193">
      <x:c r="I193" s="58"/>
    </x:row>
    <x:row r="194">
      <x:c r="I194" s="58"/>
    </x:row>
    <x:row r="195">
      <x:c r="I195" s="58"/>
    </x:row>
    <x:row r="196">
      <x:c r="I196" s="58"/>
    </x:row>
    <x:row r="197">
      <x:c r="I197" s="58"/>
    </x:row>
    <x:row r="198">
      <x:c r="I198" s="58"/>
    </x:row>
    <x:row r="199">
      <x:c r="I199" s="58"/>
    </x:row>
    <x:row r="200">
      <x:c r="I200" s="58"/>
    </x:row>
    <x:row r="201">
      <x:c r="I201" s="58"/>
    </x:row>
    <x:row r="202">
      <x:c r="I202" s="58"/>
    </x:row>
    <x:row r="203">
      <x:c r="I203" s="58"/>
    </x:row>
    <x:row r="204">
      <x:c r="I204" s="58"/>
    </x:row>
    <x:row r="205">
      <x:c r="I205" s="58"/>
    </x:row>
    <x:row r="206">
      <x:c r="I206" s="58"/>
    </x:row>
    <x:row r="207">
      <x:c r="I207" s="58"/>
    </x:row>
    <x:row r="208">
      <x:c r="I208" s="58"/>
    </x:row>
    <x:row r="209">
      <x:c r="I209" s="58"/>
    </x:row>
    <x:row r="210">
      <x:c r="I210" s="58"/>
    </x:row>
    <x:row r="211">
      <x:c r="I211" s="58"/>
    </x:row>
    <x:row r="212">
      <x:c r="I212" s="58"/>
    </x:row>
    <x:row r="213">
      <x:c r="I213" s="58"/>
    </x:row>
    <x:row r="214">
      <x:c r="I214" s="58"/>
    </x:row>
    <x:row r="215">
      <x:c r="I215" s="58"/>
    </x:row>
    <x:row r="216">
      <x:c r="I216" s="58"/>
    </x:row>
    <x:row r="217">
      <x:c r="I217" s="58"/>
    </x:row>
    <x:row r="218">
      <x:c r="I218" s="58"/>
    </x:row>
    <x:row r="219">
      <x:c r="I219" s="58"/>
    </x:row>
    <x:row r="220">
      <x:c r="I220" s="58"/>
    </x:row>
    <x:row r="221">
      <x:c r="I221" s="58"/>
    </x:row>
    <x:row r="222">
      <x:c r="I222" s="58"/>
    </x:row>
    <x:row r="223">
      <x:c r="I223" s="58"/>
    </x:row>
    <x:row r="224">
      <x:c r="I224" s="58"/>
    </x:row>
    <x:row r="225">
      <x:c r="I225" s="58"/>
    </x:row>
    <x:row r="226">
      <x:c r="I226" s="58"/>
    </x:row>
    <x:row r="227">
      <x:c r="I227" s="58"/>
    </x:row>
    <x:row r="228">
      <x:c r="I228" s="58"/>
    </x:row>
    <x:row r="229">
      <x:c r="I229" s="58"/>
    </x:row>
    <x:row r="230">
      <x:c r="I230" s="58"/>
    </x:row>
    <x:row r="231">
      <x:c r="I231" s="58"/>
    </x:row>
    <x:row r="232">
      <x:c r="I232" s="58"/>
    </x:row>
    <x:row r="233">
      <x:c r="I233" s="58"/>
    </x:row>
    <x:row r="234">
      <x:c r="I234" s="58"/>
    </x:row>
    <x:row r="235">
      <x:c r="I235" s="58"/>
    </x:row>
    <x:row r="236">
      <x:c r="I236" s="58"/>
    </x:row>
    <x:row r="237">
      <x:c r="I237" s="58"/>
    </x:row>
    <x:row r="238">
      <x:c r="I238" s="58"/>
    </x:row>
    <x:row r="239">
      <x:c r="I239" s="58"/>
    </x:row>
    <x:row r="240">
      <x:c r="I240" s="58"/>
    </x:row>
    <x:row r="241">
      <x:c r="I241" s="58"/>
    </x:row>
    <x:row r="242">
      <x:c r="I242" s="58"/>
    </x:row>
    <x:row r="243">
      <x:c r="I243" s="58"/>
    </x:row>
    <x:row r="244">
      <x:c r="I244" s="58"/>
    </x:row>
    <x:row r="245">
      <x:c r="I245" s="58"/>
    </x:row>
    <x:row r="246">
      <x:c r="I246" s="58"/>
    </x:row>
    <x:row r="247">
      <x:c r="I247" s="58"/>
    </x:row>
    <x:row r="248">
      <x:c r="I248" s="58"/>
    </x:row>
    <x:row r="249">
      <x:c r="I249" s="58"/>
    </x:row>
    <x:row r="250">
      <x:c r="I250" s="58"/>
    </x:row>
    <x:row r="251">
      <x:c r="I251" s="58"/>
    </x:row>
    <x:row r="252">
      <x:c r="I252" s="58"/>
    </x:row>
    <x:row r="253">
      <x:c r="I253" s="58"/>
    </x:row>
    <x:row r="254">
      <x:c r="I254" s="58"/>
    </x:row>
    <x:row r="255">
      <x:c r="I255" s="58"/>
    </x:row>
    <x:row r="256">
      <x:c r="I256" s="58"/>
    </x:row>
    <x:row r="257">
      <x:c r="I257" s="58"/>
    </x:row>
    <x:row r="258">
      <x:c r="I258" s="58"/>
    </x:row>
    <x:row r="259">
      <x:c r="I259" s="58"/>
    </x:row>
    <x:row r="260">
      <x:c r="I260" s="58"/>
    </x:row>
    <x:row r="261">
      <x:c r="I261" s="58"/>
    </x:row>
    <x:row r="262">
      <x:c r="I262" s="58"/>
    </x:row>
    <x:row r="263">
      <x:c r="I263" s="58"/>
    </x:row>
    <x:row r="264">
      <x:c r="I264" s="58"/>
    </x:row>
    <x:row r="265">
      <x:c r="I265" s="58"/>
    </x:row>
    <x:row r="266">
      <x:c r="I266" s="58"/>
    </x:row>
    <x:row r="267">
      <x:c r="I267" s="58"/>
    </x:row>
    <x:row r="268">
      <x:c r="I268" s="58"/>
    </x:row>
    <x:row r="269">
      <x:c r="I269" s="58"/>
    </x:row>
    <x:row r="270">
      <x:c r="I270" s="58"/>
    </x:row>
    <x:row r="271">
      <x:c r="I271" s="58"/>
    </x:row>
    <x:row r="272">
      <x:c r="I272" s="58"/>
    </x:row>
    <x:row r="273">
      <x:c r="I273" s="58"/>
    </x:row>
    <x:row r="274">
      <x:c r="I274" s="58"/>
    </x:row>
    <x:row r="275">
      <x:c r="I275" s="58"/>
    </x:row>
    <x:row r="276">
      <x:c r="I276" s="58"/>
    </x:row>
    <x:row r="277">
      <x:c r="I277" s="58"/>
    </x:row>
    <x:row r="278">
      <x:c r="I278" s="58"/>
    </x:row>
    <x:row r="279">
      <x:c r="I279" s="58"/>
    </x:row>
    <x:row r="280">
      <x:c r="I280" s="58"/>
    </x:row>
    <x:row r="281">
      <x:c r="I281" s="58"/>
    </x:row>
    <x:row r="282">
      <x:c r="I282" s="58"/>
    </x:row>
    <x:row r="283">
      <x:c r="I283" s="58"/>
    </x:row>
    <x:row r="284">
      <x:c r="I284" s="58"/>
    </x:row>
    <x:row r="285">
      <x:c r="I285" s="58"/>
    </x:row>
    <x:row r="286">
      <x:c r="I286" s="58"/>
    </x:row>
    <x:row r="287">
      <x:c r="I287" s="58"/>
    </x:row>
    <x:row r="288">
      <x:c r="I288" s="58"/>
    </x:row>
    <x:row r="289">
      <x:c r="I289" s="58"/>
    </x:row>
    <x:row r="290">
      <x:c r="I290" s="58"/>
    </x:row>
    <x:row r="291">
      <x:c r="I291" s="58"/>
    </x:row>
    <x:row r="292">
      <x:c r="I292" s="58"/>
    </x:row>
    <x:row r="293">
      <x:c r="I293" s="58"/>
    </x:row>
    <x:row r="294">
      <x:c r="I294" s="58"/>
    </x:row>
    <x:row r="295">
      <x:c r="I295" s="58"/>
    </x:row>
    <x:row r="296">
      <x:c r="I296" s="58"/>
    </x:row>
    <x:row r="297">
      <x:c r="I297" s="58"/>
    </x:row>
    <x:row r="298">
      <x:c r="I298" s="58"/>
    </x:row>
    <x:row r="299">
      <x:c r="I299" s="58"/>
    </x:row>
    <x:row r="300">
      <x:c r="I300" s="58"/>
    </x:row>
    <x:row r="301">
      <x:c r="I301" s="58"/>
    </x:row>
    <x:row r="302">
      <x:c r="I302" s="58"/>
    </x:row>
    <x:row r="303">
      <x:c r="I303" s="58"/>
    </x:row>
    <x:row r="304">
      <x:c r="I304" s="58"/>
    </x:row>
    <x:row r="305">
      <x:c r="I305" s="58"/>
    </x:row>
    <x:row r="306">
      <x:c r="I306" s="58"/>
    </x:row>
    <x:row r="307">
      <x:c r="I307" s="58"/>
    </x:row>
    <x:row r="308">
      <x:c r="I308" s="58"/>
    </x:row>
    <x:row r="309">
      <x:c r="I309" s="58"/>
    </x:row>
    <x:row r="310">
      <x:c r="I310" s="58"/>
    </x:row>
    <x:row r="311">
      <x:c r="I311" s="58"/>
    </x:row>
    <x:row r="312">
      <x:c r="I312" s="58"/>
    </x:row>
    <x:row r="313">
      <x:c r="I313" s="58"/>
    </x:row>
    <x:row r="314">
      <x:c r="I314" s="58"/>
    </x:row>
    <x:row r="315">
      <x:c r="I315" s="58"/>
    </x:row>
    <x:row r="316">
      <x:c r="I316" s="58"/>
    </x:row>
    <x:row r="317">
      <x:c r="I317" s="58"/>
    </x:row>
    <x:row r="318">
      <x:c r="I318" s="58"/>
    </x:row>
    <x:row r="319">
      <x:c r="I319" s="58"/>
    </x:row>
    <x:row r="320">
      <x:c r="I320" s="58"/>
    </x:row>
    <x:row r="321">
      <x:c r="I321" s="58"/>
    </x:row>
    <x:row r="322">
      <x:c r="I322" s="58"/>
    </x:row>
    <x:row r="323">
      <x:c r="I323" s="58"/>
    </x:row>
    <x:row r="324">
      <x:c r="I324" s="58"/>
    </x:row>
    <x:row r="325">
      <x:c r="I325" s="58"/>
    </x:row>
    <x:row r="326">
      <x:c r="I326" s="58"/>
    </x:row>
    <x:row r="327">
      <x:c r="I327" s="58"/>
    </x:row>
    <x:row r="328">
      <x:c r="I328" s="58"/>
    </x:row>
    <x:row r="329">
      <x:c r="I329" s="58"/>
    </x:row>
    <x:row r="330">
      <x:c r="I330" s="58"/>
    </x:row>
    <x:row r="331">
      <x:c r="I331" s="58"/>
    </x:row>
    <x:row r="332">
      <x:c r="I332" s="58"/>
    </x:row>
    <x:row r="333">
      <x:c r="I333" s="58"/>
    </x:row>
    <x:row r="334">
      <x:c r="I334" s="58"/>
    </x:row>
    <x:row r="335">
      <x:c r="I335" s="58"/>
    </x:row>
    <x:row r="336">
      <x:c r="I336" s="58"/>
    </x:row>
    <x:row r="337">
      <x:c r="I337" s="58"/>
    </x:row>
    <x:row r="338">
      <x:c r="I338" s="58"/>
    </x:row>
    <x:row r="339">
      <x:c r="I339" s="58"/>
    </x:row>
    <x:row r="340">
      <x:c r="I340" s="58"/>
    </x:row>
    <x:row r="341">
      <x:c r="I341" s="58"/>
    </x:row>
    <x:row r="342">
      <x:c r="I342" s="58"/>
    </x:row>
    <x:row r="343">
      <x:c r="I343" s="58"/>
    </x:row>
    <x:row r="344">
      <x:c r="I344" s="58"/>
    </x:row>
    <x:row r="345">
      <x:c r="I345" s="58"/>
    </x:row>
    <x:row r="346">
      <x:c r="I346" s="58"/>
    </x:row>
    <x:row r="347">
      <x:c r="I347" s="58"/>
    </x:row>
    <x:row r="348">
      <x:c r="I348" s="58"/>
    </x:row>
    <x:row r="349">
      <x:c r="I349" s="58"/>
    </x:row>
    <x:row r="350">
      <x:c r="I350" s="58"/>
    </x:row>
    <x:row r="351">
      <x:c r="I351" s="58"/>
    </x:row>
    <x:row r="352">
      <x:c r="I352" s="58"/>
    </x:row>
    <x:row r="353">
      <x:c r="I353" s="58"/>
    </x:row>
    <x:row r="354">
      <x:c r="I354" s="58"/>
    </x:row>
    <x:row r="355">
      <x:c r="I355" s="58"/>
    </x:row>
    <x:row r="356">
      <x:c r="I356" s="58"/>
    </x:row>
    <x:row r="357">
      <x:c r="I357" s="58"/>
    </x:row>
    <x:row r="358">
      <x:c r="I358" s="58"/>
    </x:row>
    <x:row r="359">
      <x:c r="I359" s="58"/>
    </x:row>
    <x:row r="360">
      <x:c r="I360" s="58"/>
    </x:row>
    <x:row r="361">
      <x:c r="I361" s="58"/>
    </x:row>
    <x:row r="362">
      <x:c r="I362" s="58"/>
    </x:row>
    <x:row r="363">
      <x:c r="I363" s="58"/>
    </x:row>
    <x:row r="364">
      <x:c r="I364" s="58"/>
    </x:row>
    <x:row r="365">
      <x:c r="I365" s="58"/>
    </x:row>
    <x:row r="366">
      <x:c r="I366" s="58"/>
    </x:row>
    <x:row r="367">
      <x:c r="I367" s="58"/>
    </x:row>
    <x:row r="368">
      <x:c r="I368" s="58"/>
    </x:row>
    <x:row r="369">
      <x:c r="I369" s="58"/>
    </x:row>
    <x:row r="370">
      <x:c r="I370" s="58"/>
    </x:row>
    <x:row r="371">
      <x:c r="I371" s="58"/>
    </x:row>
    <x:row r="372">
      <x:c r="I372" s="58"/>
    </x:row>
    <x:row r="373">
      <x:c r="I373" s="58"/>
    </x:row>
    <x:row r="374">
      <x:c r="I374" s="58"/>
    </x:row>
    <x:row r="375">
      <x:c r="I375" s="58"/>
    </x:row>
    <x:row r="376">
      <x:c r="I376" s="58"/>
    </x:row>
    <x:row r="377">
      <x:c r="I377" s="58"/>
    </x:row>
    <x:row r="378">
      <x:c r="I378" s="58"/>
    </x:row>
    <x:row r="379">
      <x:c r="I379" s="58"/>
    </x:row>
    <x:row r="380">
      <x:c r="I380" s="58"/>
    </x:row>
    <x:row r="381">
      <x:c r="I381" s="58"/>
    </x:row>
    <x:row r="382">
      <x:c r="I382" s="58"/>
    </x:row>
    <x:row r="383">
      <x:c r="I383" s="58"/>
    </x:row>
    <x:row r="384">
      <x:c r="I384" s="58"/>
    </x:row>
    <x:row r="385">
      <x:c r="I385" s="58"/>
    </x:row>
    <x:row r="386">
      <x:c r="I386" s="58"/>
    </x:row>
    <x:row r="387">
      <x:c r="I387" s="58"/>
    </x:row>
    <x:row r="388">
      <x:c r="I388" s="58"/>
    </x:row>
    <x:row r="389">
      <x:c r="I389" s="58"/>
    </x:row>
    <x:row r="390">
      <x:c r="I390" s="58"/>
    </x:row>
    <x:row r="391">
      <x:c r="I391" s="58"/>
    </x:row>
    <x:row r="392">
      <x:c r="I392" s="58"/>
    </x:row>
    <x:row r="393">
      <x:c r="I393" s="58"/>
    </x:row>
    <x:row r="394">
      <x:c r="I394" s="58"/>
    </x:row>
    <x:row r="395">
      <x:c r="I395" s="58"/>
    </x:row>
    <x:row r="396">
      <x:c r="I396" s="58"/>
    </x:row>
    <x:row r="397">
      <x:c r="I397" s="58"/>
    </x:row>
    <x:row r="398">
      <x:c r="I398" s="58"/>
    </x:row>
    <x:row r="399">
      <x:c r="I399" s="58"/>
    </x:row>
    <x:row r="400">
      <x:c r="I400" s="58"/>
    </x:row>
    <x:row r="401">
      <x:c r="I401" s="58"/>
    </x:row>
    <x:row r="402">
      <x:c r="I402" s="58"/>
    </x:row>
    <x:row r="403">
      <x:c r="I403" s="58"/>
    </x:row>
    <x:row r="404">
      <x:c r="I404" s="58"/>
    </x:row>
    <x:row r="405">
      <x:c r="I405" s="58"/>
    </x:row>
    <x:row r="406">
      <x:c r="I406" s="58"/>
    </x:row>
    <x:row r="407">
      <x:c r="I407" s="58"/>
    </x:row>
    <x:row r="408">
      <x:c r="I408" s="58"/>
    </x:row>
    <x:row r="409">
      <x:c r="I409" s="58"/>
    </x:row>
    <x:row r="410">
      <x:c r="I410" s="58"/>
    </x:row>
    <x:row r="411">
      <x:c r="I411" s="58"/>
    </x:row>
    <x:row r="412">
      <x:c r="I412" s="58"/>
    </x:row>
    <x:row r="413">
      <x:c r="I413" s="58"/>
    </x:row>
    <x:row r="414">
      <x:c r="I414" s="58"/>
    </x:row>
    <x:row r="415">
      <x:c r="I415" s="58"/>
    </x:row>
    <x:row r="416">
      <x:c r="I416" s="58"/>
    </x:row>
    <x:row r="417">
      <x:c r="I417" s="58"/>
    </x:row>
    <x:row r="418">
      <x:c r="I418" s="58"/>
    </x:row>
    <x:row r="419">
      <x:c r="I419" s="58"/>
    </x:row>
    <x:row r="420">
      <x:c r="I420" s="58"/>
    </x:row>
    <x:row r="421">
      <x:c r="I421" s="58"/>
    </x:row>
    <x:row r="422">
      <x:c r="I422" s="58"/>
    </x:row>
    <x:row r="423">
      <x:c r="I423" s="58"/>
    </x:row>
    <x:row r="424">
      <x:c r="I424" s="58"/>
    </x:row>
    <x:row r="425">
      <x:c r="I425" s="58"/>
    </x:row>
    <x:row r="426">
      <x:c r="I426" s="58"/>
    </x:row>
    <x:row r="427">
      <x:c r="I427" s="58"/>
    </x:row>
    <x:row r="428">
      <x:c r="I428" s="58"/>
    </x:row>
    <x:row r="429">
      <x:c r="I429" s="58"/>
    </x:row>
    <x:row r="430">
      <x:c r="I430" s="58"/>
    </x:row>
    <x:row r="431">
      <x:c r="I431" s="58"/>
    </x:row>
    <x:row r="432">
      <x:c r="I432" s="58"/>
    </x:row>
    <x:row r="433">
      <x:c r="I433" s="58"/>
    </x:row>
    <x:row r="434">
      <x:c r="I434" s="58"/>
    </x:row>
    <x:row r="435">
      <x:c r="I435" s="58"/>
    </x:row>
    <x:row r="436">
      <x:c r="I436" s="58"/>
    </x:row>
    <x:row r="437">
      <x:c r="I437" s="58"/>
    </x:row>
    <x:row r="438">
      <x:c r="I438" s="58"/>
    </x:row>
    <x:row r="439">
      <x:c r="I439" s="58"/>
    </x:row>
    <x:row r="440">
      <x:c r="I440" s="58"/>
    </x:row>
    <x:row r="441">
      <x:c r="I441" s="58"/>
    </x:row>
    <x:row r="442">
      <x:c r="I442" s="58"/>
    </x:row>
    <x:row r="443">
      <x:c r="I443" s="58"/>
    </x:row>
    <x:row r="444">
      <x:c r="I444" s="58"/>
    </x:row>
    <x:row r="445">
      <x:c r="I445" s="58"/>
    </x:row>
    <x:row r="446">
      <x:c r="I446" s="58"/>
    </x:row>
    <x:row r="447">
      <x:c r="I447" s="58"/>
    </x:row>
    <x:row r="448">
      <x:c r="I448" s="58"/>
    </x:row>
    <x:row r="449">
      <x:c r="I449" s="58"/>
    </x:row>
    <x:row r="450">
      <x:c r="I450" s="58"/>
    </x:row>
    <x:row r="451">
      <x:c r="I451" s="58"/>
    </x:row>
    <x:row r="452">
      <x:c r="I452" s="58"/>
    </x:row>
    <x:row r="453">
      <x:c r="I453" s="58"/>
    </x:row>
    <x:row r="454">
      <x:c r="I454" s="58"/>
    </x:row>
    <x:row r="455">
      <x:c r="I455" s="58"/>
    </x:row>
    <x:row r="456">
      <x:c r="I456" s="58"/>
    </x:row>
    <x:row r="457">
      <x:c r="I457" s="58"/>
    </x:row>
    <x:row r="458">
      <x:c r="I458" s="58"/>
    </x:row>
    <x:row r="459">
      <x:c r="I459" s="58"/>
    </x:row>
    <x:row r="460">
      <x:c r="I460" s="58"/>
    </x:row>
    <x:row r="461">
      <x:c r="I461" s="58"/>
    </x:row>
    <x:row r="462">
      <x:c r="I462" s="58"/>
    </x:row>
    <x:row r="463">
      <x:c r="I463" s="58"/>
    </x:row>
    <x:row r="464">
      <x:c r="I464" s="58"/>
    </x:row>
    <x:row r="465">
      <x:c r="I465" s="58"/>
    </x:row>
    <x:row r="466">
      <x:c r="I466" s="58"/>
    </x:row>
    <x:row r="467">
      <x:c r="I467" s="58"/>
    </x:row>
    <x:row r="468">
      <x:c r="I468" s="58"/>
    </x:row>
    <x:row r="469">
      <x:c r="I469" s="58"/>
    </x:row>
    <x:row r="470">
      <x:c r="I470" s="58"/>
    </x:row>
    <x:row r="471">
      <x:c r="I471" s="58"/>
    </x:row>
    <x:row r="472">
      <x:c r="I472" s="58"/>
    </x:row>
    <x:row r="473">
      <x:c r="I473" s="58"/>
    </x:row>
    <x:row r="474">
      <x:c r="I474" s="58"/>
    </x:row>
    <x:row r="475">
      <x:c r="I475" s="58"/>
    </x:row>
    <x:row r="476">
      <x:c r="I476" s="58"/>
    </x:row>
    <x:row r="477">
      <x:c r="I477" s="58"/>
    </x:row>
    <x:row r="478">
      <x:c r="I478" s="58"/>
    </x:row>
    <x:row r="479">
      <x:c r="I479" s="58"/>
    </x:row>
    <x:row r="480">
      <x:c r="I480" s="58"/>
    </x:row>
    <x:row r="481">
      <x:c r="I481" s="58"/>
    </x:row>
    <x:row r="482">
      <x:c r="I482" s="58"/>
    </x:row>
    <x:row r="483">
      <x:c r="I483" s="58"/>
    </x:row>
    <x:row r="484">
      <x:c r="I484" s="58"/>
    </x:row>
    <x:row r="485">
      <x:c r="I485" s="58"/>
    </x:row>
    <x:row r="486">
      <x:c r="I486" s="58"/>
    </x:row>
    <x:row r="487">
      <x:c r="I487" s="58"/>
    </x:row>
    <x:row r="488">
      <x:c r="I488" s="58"/>
    </x:row>
    <x:row r="489">
      <x:c r="I489" s="58"/>
    </x:row>
    <x:row r="490">
      <x:c r="I490" s="58"/>
    </x:row>
    <x:row r="491">
      <x:c r="I491" s="58"/>
    </x:row>
    <x:row r="492">
      <x:c r="I492" s="58"/>
    </x:row>
    <x:row r="493">
      <x:c r="I493" s="58"/>
    </x:row>
    <x:row r="494">
      <x:c r="I494" s="58"/>
    </x:row>
    <x:row r="495">
      <x:c r="I495" s="58"/>
    </x:row>
    <x:row r="496">
      <x:c r="I496" s="58"/>
    </x:row>
    <x:row r="497">
      <x:c r="I497" s="58"/>
    </x:row>
    <x:row r="498">
      <x:c r="I498" s="58"/>
    </x:row>
    <x:row r="499">
      <x:c r="I499" s="58"/>
    </x:row>
    <x:row r="500">
      <x:c r="I500" s="58"/>
    </x:row>
    <x:row r="501">
      <x:c r="I501" s="58"/>
    </x:row>
    <x:row r="502">
      <x:c r="I502" s="58"/>
    </x:row>
    <x:row r="503">
      <x:c r="I503" s="58"/>
    </x:row>
    <x:row r="504">
      <x:c r="I504" s="58"/>
    </x:row>
    <x:row r="505">
      <x:c r="I505" s="58"/>
    </x:row>
    <x:row r="506">
      <x:c r="I506" s="58"/>
    </x:row>
    <x:row r="507">
      <x:c r="I507" s="58"/>
    </x:row>
    <x:row r="508">
      <x:c r="I508" s="58"/>
    </x:row>
    <x:row r="509">
      <x:c r="I509" s="58"/>
    </x:row>
    <x:row r="510">
      <x:c r="I510" s="58"/>
    </x:row>
    <x:row r="511">
      <x:c r="I511" s="58"/>
    </x:row>
    <x:row r="512">
      <x:c r="I512" s="58"/>
    </x:row>
    <x:row r="513">
      <x:c r="I513" s="58"/>
    </x:row>
    <x:row r="514">
      <x:c r="I514" s="58"/>
    </x:row>
    <x:row r="515">
      <x:c r="I515" s="58"/>
    </x:row>
    <x:row r="516">
      <x:c r="I516" s="58"/>
    </x:row>
    <x:row r="517">
      <x:c r="I517" s="58"/>
    </x:row>
    <x:row r="518">
      <x:c r="I518" s="58"/>
    </x:row>
    <x:row r="519">
      <x:c r="I519" s="58"/>
    </x:row>
    <x:row r="520">
      <x:c r="I520" s="58"/>
    </x:row>
    <x:row r="521">
      <x:c r="I521" s="58"/>
    </x:row>
    <x:row r="522">
      <x:c r="I522" s="58"/>
    </x:row>
    <x:row r="523">
      <x:c r="I523" s="58"/>
    </x:row>
    <x:row r="524">
      <x:c r="I524" s="58"/>
    </x:row>
    <x:row r="525">
      <x:c r="I525" s="58"/>
    </x:row>
    <x:row r="526">
      <x:c r="I526" s="58"/>
    </x:row>
    <x:row r="527">
      <x:c r="I527" s="58"/>
    </x:row>
    <x:row r="528">
      <x:c r="I528" s="58"/>
    </x:row>
    <x:row r="529">
      <x:c r="I529" s="58"/>
    </x:row>
    <x:row r="530">
      <x:c r="I530" s="58"/>
    </x:row>
    <x:row r="531">
      <x:c r="I531" s="58"/>
    </x:row>
    <x:row r="532">
      <x:c r="I532" s="58"/>
    </x:row>
    <x:row r="533">
      <x:c r="I533" s="58"/>
    </x:row>
    <x:row r="534">
      <x:c r="I534" s="58"/>
    </x:row>
    <x:row r="535">
      <x:c r="I535" s="58"/>
    </x:row>
    <x:row r="536">
      <x:c r="I536" s="58"/>
    </x:row>
    <x:row r="537">
      <x:c r="I537" s="58"/>
    </x:row>
    <x:row r="538">
      <x:c r="I538" s="58"/>
    </x:row>
    <x:row r="539">
      <x:c r="I539" s="58"/>
    </x:row>
    <x:row r="540">
      <x:c r="I540" s="58"/>
    </x:row>
    <x:row r="541">
      <x:c r="I541" s="58"/>
    </x:row>
    <x:row r="542">
      <x:c r="I542" s="58"/>
    </x:row>
    <x:row r="543">
      <x:c r="I543" s="58"/>
    </x:row>
    <x:row r="544">
      <x:c r="I544" s="58"/>
    </x:row>
    <x:row r="545">
      <x:c r="I545" s="58"/>
    </x:row>
    <x:row r="546">
      <x:c r="I546" s="58"/>
    </x:row>
    <x:row r="547">
      <x:c r="I547" s="58"/>
    </x:row>
    <x:row r="548">
      <x:c r="I548" s="58"/>
    </x:row>
    <x:row r="549">
      <x:c r="I549" s="58"/>
    </x:row>
    <x:row r="550">
      <x:c r="I550" s="58"/>
    </x:row>
    <x:row r="551">
      <x:c r="I551" s="58"/>
    </x:row>
    <x:row r="552">
      <x:c r="I552" s="58"/>
    </x:row>
    <x:row r="553">
      <x:c r="I553" s="58"/>
    </x:row>
    <x:row r="554">
      <x:c r="I554" s="58"/>
    </x:row>
    <x:row r="555">
      <x:c r="I555" s="58"/>
    </x:row>
    <x:row r="556">
      <x:c r="I556" s="58"/>
    </x:row>
    <x:row r="557">
      <x:c r="I557" s="58"/>
    </x:row>
    <x:row r="558">
      <x:c r="I558" s="58"/>
    </x:row>
    <x:row r="559">
      <x:c r="I559" s="58"/>
    </x:row>
    <x:row r="560">
      <x:c r="I560" s="58"/>
    </x:row>
    <x:row r="561">
      <x:c r="I561" s="58"/>
    </x:row>
    <x:row r="562">
      <x:c r="I562" s="58"/>
    </x:row>
    <x:row r="563">
      <x:c r="I563" s="58"/>
    </x:row>
    <x:row r="564">
      <x:c r="I564" s="58"/>
    </x:row>
    <x:row r="565">
      <x:c r="I565" s="58"/>
    </x:row>
    <x:row r="566">
      <x:c r="I566" s="58"/>
    </x:row>
    <x:row r="567">
      <x:c r="I567" s="58"/>
    </x:row>
    <x:row r="568">
      <x:c r="I568" s="58"/>
    </x:row>
    <x:row r="569">
      <x:c r="I569" s="58"/>
    </x:row>
    <x:row r="570">
      <x:c r="I570" s="58"/>
    </x:row>
    <x:row r="571">
      <x:c r="I571" s="58"/>
    </x:row>
    <x:row r="572">
      <x:c r="I572" s="58"/>
    </x:row>
    <x:row r="573">
      <x:c r="I573" s="58"/>
    </x:row>
    <x:row r="574">
      <x:c r="I574" s="58"/>
    </x:row>
    <x:row r="575">
      <x:c r="I575" s="58"/>
    </x:row>
    <x:row r="576">
      <x:c r="I576" s="58"/>
    </x:row>
    <x:row r="577">
      <x:c r="I577" s="58"/>
    </x:row>
    <x:row r="578">
      <x:c r="I578" s="58"/>
    </x:row>
    <x:row r="579">
      <x:c r="I579" s="58"/>
    </x:row>
    <x:row r="580">
      <x:c r="I580" s="58"/>
    </x:row>
    <x:row r="581">
      <x:c r="I581" s="58"/>
    </x:row>
    <x:row r="582">
      <x:c r="I582" s="58"/>
    </x:row>
    <x:row r="583">
      <x:c r="I583" s="58"/>
    </x:row>
    <x:row r="584">
      <x:c r="I584" s="58"/>
    </x:row>
    <x:row r="585">
      <x:c r="I585" s="58"/>
    </x:row>
    <x:row r="586">
      <x:c r="I586" s="58"/>
    </x:row>
    <x:row r="587">
      <x:c r="I587" s="58"/>
    </x:row>
    <x:row r="588">
      <x:c r="I588" s="58"/>
    </x:row>
    <x:row r="589">
      <x:c r="I589" s="58"/>
    </x:row>
    <x:row r="590">
      <x:c r="I590" s="58"/>
    </x:row>
    <x:row r="591">
      <x:c r="I591" s="58"/>
    </x:row>
    <x:row r="592">
      <x:c r="I592" s="58"/>
    </x:row>
    <x:row r="593">
      <x:c r="I593" s="58"/>
    </x:row>
    <x:row r="594">
      <x:c r="I594" s="58"/>
    </x:row>
    <x:row r="595">
      <x:c r="I595" s="58"/>
    </x:row>
    <x:row r="596">
      <x:c r="I596" s="58"/>
    </x:row>
    <x:row r="597">
      <x:c r="I597" s="58"/>
    </x:row>
    <x:row r="598">
      <x:c r="I598" s="58"/>
    </x:row>
    <x:row r="599">
      <x:c r="I599" s="58"/>
    </x:row>
    <x:row r="600">
      <x:c r="I600" s="58"/>
    </x:row>
    <x:row r="601">
      <x:c r="I601" s="58"/>
    </x:row>
    <x:row r="602">
      <x:c r="I602" s="58"/>
    </x:row>
    <x:row r="603">
      <x:c r="I603" s="58"/>
    </x:row>
    <x:row r="604">
      <x:c r="I604" s="58"/>
    </x:row>
    <x:row r="605">
      <x:c r="I605" s="58"/>
    </x:row>
    <x:row r="606">
      <x:c r="I606" s="58"/>
    </x:row>
    <x:row r="607">
      <x:c r="I607" s="58"/>
    </x:row>
    <x:row r="608">
      <x:c r="I608" s="58"/>
    </x:row>
    <x:row r="609">
      <x:c r="I609" s="58"/>
    </x:row>
    <x:row r="610">
      <x:c r="I610" s="58"/>
    </x:row>
    <x:row r="611">
      <x:c r="I611" s="58"/>
    </x:row>
    <x:row r="612">
      <x:c r="I612" s="58"/>
    </x:row>
    <x:row r="613">
      <x:c r="I613" s="58"/>
    </x:row>
    <x:row r="614">
      <x:c r="I614" s="58"/>
    </x:row>
    <x:row r="615">
      <x:c r="I615" s="58"/>
    </x:row>
    <x:row r="616">
      <x:c r="I616" s="58"/>
    </x:row>
    <x:row r="617">
      <x:c r="I617" s="58"/>
    </x:row>
    <x:row r="618">
      <x:c r="I618" s="58"/>
    </x:row>
    <x:row r="619">
      <x:c r="I619" s="58"/>
    </x:row>
    <x:row r="620">
      <x:c r="I620" s="58"/>
    </x:row>
    <x:row r="621">
      <x:c r="I621" s="58"/>
    </x:row>
    <x:row r="622">
      <x:c r="I622" s="58"/>
    </x:row>
    <x:row r="623">
      <x:c r="I623" s="58"/>
    </x:row>
    <x:row r="624">
      <x:c r="I624" s="58"/>
    </x:row>
    <x:row r="625">
      <x:c r="I625" s="58"/>
    </x:row>
    <x:row r="626">
      <x:c r="I626" s="58"/>
    </x:row>
    <x:row r="627">
      <x:c r="I627" s="58"/>
    </x:row>
    <x:row r="628">
      <x:c r="I628" s="58"/>
    </x:row>
    <x:row r="629">
      <x:c r="I629" s="58"/>
    </x:row>
    <x:row r="630">
      <x:c r="I630" s="58"/>
    </x:row>
    <x:row r="631">
      <x:c r="I631" s="58"/>
    </x:row>
    <x:row r="632">
      <x:c r="I632" s="58"/>
    </x:row>
    <x:row r="633">
      <x:c r="I633" s="58"/>
    </x:row>
    <x:row r="634">
      <x:c r="I634" s="58"/>
    </x:row>
    <x:row r="635">
      <x:c r="I635" s="58"/>
    </x:row>
    <x:row r="636">
      <x:c r="I636" s="58"/>
    </x:row>
    <x:row r="637">
      <x:c r="I637" s="58"/>
    </x:row>
    <x:row r="638">
      <x:c r="I638" s="58"/>
    </x:row>
    <x:row r="639">
      <x:c r="I639" s="58"/>
    </x:row>
    <x:row r="640">
      <x:c r="I640" s="58"/>
    </x:row>
    <x:row r="641">
      <x:c r="I641" s="58"/>
    </x:row>
    <x:row r="642">
      <x:c r="I642" s="58"/>
    </x:row>
    <x:row r="643">
      <x:c r="I643" s="58"/>
    </x:row>
    <x:row r="644">
      <x:c r="I644" s="58"/>
    </x:row>
    <x:row r="645">
      <x:c r="I645" s="58"/>
    </x:row>
    <x:row r="646">
      <x:c r="I646" s="58"/>
    </x:row>
    <x:row r="647">
      <x:c r="I647" s="58"/>
    </x:row>
    <x:row r="648">
      <x:c r="I648" s="58"/>
    </x:row>
    <x:row r="649">
      <x:c r="I649" s="58"/>
    </x:row>
    <x:row r="650">
      <x:c r="I650" s="58"/>
    </x:row>
    <x:row r="651">
      <x:c r="I651" s="58"/>
    </x:row>
    <x:row r="652">
      <x:c r="I652" s="58"/>
    </x:row>
    <x:row r="653">
      <x:c r="I653" s="58"/>
    </x:row>
    <x:row r="654">
      <x:c r="I654" s="58"/>
    </x:row>
    <x:row r="655">
      <x:c r="I655" s="58"/>
    </x:row>
    <x:row r="656">
      <x:c r="I656" s="58"/>
    </x:row>
    <x:row r="657">
      <x:c r="I657" s="58"/>
    </x:row>
    <x:row r="658">
      <x:c r="I658" s="58"/>
    </x:row>
    <x:row r="659">
      <x:c r="I659" s="58"/>
    </x:row>
    <x:row r="660">
      <x:c r="I660" s="58"/>
    </x:row>
    <x:row r="661">
      <x:c r="I661" s="58"/>
    </x:row>
    <x:row r="662">
      <x:c r="I662" s="58"/>
    </x:row>
    <x:row r="663">
      <x:c r="I663" s="58"/>
    </x:row>
    <x:row r="664">
      <x:c r="I664" s="58"/>
    </x:row>
    <x:row r="665">
      <x:c r="I665" s="58"/>
    </x:row>
    <x:row r="666">
      <x:c r="I666" s="58"/>
    </x:row>
    <x:row r="667">
      <x:c r="I667" s="58"/>
    </x:row>
    <x:row r="668">
      <x:c r="I668" s="58"/>
    </x:row>
    <x:row r="669">
      <x:c r="I669" s="58"/>
    </x:row>
    <x:row r="670">
      <x:c r="I670" s="58"/>
    </x:row>
    <x:row r="671">
      <x:c r="I671" s="58"/>
    </x:row>
    <x:row r="672">
      <x:c r="I672" s="58"/>
    </x:row>
    <x:row r="673">
      <x:c r="I673" s="58"/>
    </x:row>
    <x:row r="674">
      <x:c r="I674" s="58"/>
    </x:row>
    <x:row r="675">
      <x:c r="I675" s="58"/>
    </x:row>
    <x:row r="676">
      <x:c r="I676" s="58"/>
    </x:row>
    <x:row r="677">
      <x:c r="I677" s="58"/>
    </x:row>
    <x:row r="678">
      <x:c r="I678" s="58"/>
    </x:row>
    <x:row r="679">
      <x:c r="I679" s="58"/>
    </x:row>
    <x:row r="680">
      <x:c r="I680" s="58"/>
    </x:row>
    <x:row r="681">
      <x:c r="I681" s="58"/>
    </x:row>
    <x:row r="682">
      <x:c r="I682" s="58"/>
    </x:row>
    <x:row r="683">
      <x:c r="I683" s="58"/>
    </x:row>
    <x:row r="684">
      <x:c r="I684" s="58"/>
    </x:row>
    <x:row r="685">
      <x:c r="I685" s="58"/>
    </x:row>
    <x:row r="686">
      <x:c r="I686" s="58"/>
    </x:row>
    <x:row r="687">
      <x:c r="I687" s="58"/>
    </x:row>
    <x:row r="688">
      <x:c r="I688" s="58"/>
    </x:row>
    <x:row r="689">
      <x:c r="I689" s="58"/>
    </x:row>
    <x:row r="690">
      <x:c r="I690" s="58"/>
    </x:row>
    <x:row r="691">
      <x:c r="I691" s="58"/>
    </x:row>
    <x:row r="692">
      <x:c r="I692" s="58"/>
    </x:row>
    <x:row r="693">
      <x:c r="I693" s="58"/>
    </x:row>
    <x:row r="694">
      <x:c r="I694" s="58"/>
    </x:row>
    <x:row r="695">
      <x:c r="I695" s="58"/>
    </x:row>
    <x:row r="696">
      <x:c r="I696" s="58"/>
    </x:row>
    <x:row r="697">
      <x:c r="I697" s="58"/>
    </x:row>
    <x:row r="698">
      <x:c r="I698" s="58"/>
    </x:row>
    <x:row r="699">
      <x:c r="I699" s="58"/>
    </x:row>
    <x:row r="700">
      <x:c r="I700" s="58"/>
    </x:row>
    <x:row r="701">
      <x:c r="I701" s="58"/>
    </x:row>
    <x:row r="702">
      <x:c r="I702" s="58"/>
    </x:row>
    <x:row r="703">
      <x:c r="I703" s="58"/>
    </x:row>
    <x:row r="704">
      <x:c r="I704" s="58"/>
    </x:row>
    <x:row r="705">
      <x:c r="I705" s="58"/>
    </x:row>
    <x:row r="706">
      <x:c r="I706" s="58"/>
    </x:row>
    <x:row r="707">
      <x:c r="I707" s="58"/>
    </x:row>
    <x:row r="708">
      <x:c r="I708" s="58"/>
    </x:row>
    <x:row r="709">
      <x:c r="I709" s="58"/>
    </x:row>
    <x:row r="710">
      <x:c r="I710" s="58"/>
    </x:row>
    <x:row r="711">
      <x:c r="I711" s="58"/>
    </x:row>
    <x:row r="712">
      <x:c r="I712" s="58"/>
    </x:row>
    <x:row r="713">
      <x:c r="I713" s="58"/>
    </x:row>
    <x:row r="714">
      <x:c r="I714" s="58"/>
    </x:row>
    <x:row r="715">
      <x:c r="I715" s="58"/>
    </x:row>
    <x:row r="716">
      <x:c r="I716" s="58"/>
    </x:row>
    <x:row r="717">
      <x:c r="I717" s="58"/>
    </x:row>
    <x:row r="718">
      <x:c r="I718" s="58"/>
    </x:row>
    <x:row r="719">
      <x:c r="I719" s="58"/>
    </x:row>
    <x:row r="720">
      <x:c r="I720" s="58"/>
    </x:row>
    <x:row r="721">
      <x:c r="I721" s="58"/>
    </x:row>
    <x:row r="722">
      <x:c r="I722" s="58"/>
    </x:row>
    <x:row r="723">
      <x:c r="I723" s="58"/>
    </x:row>
    <x:row r="724">
      <x:c r="I724" s="58"/>
    </x:row>
    <x:row r="725">
      <x:c r="I725" s="58"/>
    </x:row>
    <x:row r="726">
      <x:c r="I726" s="58"/>
    </x:row>
    <x:row r="727">
      <x:c r="I727" s="58"/>
    </x:row>
    <x:row r="728">
      <x:c r="I728" s="58"/>
    </x:row>
    <x:row r="729">
      <x:c r="I729" s="58"/>
    </x:row>
    <x:row r="730">
      <x:c r="I730" s="58"/>
    </x:row>
    <x:row r="731">
      <x:c r="I731" s="58"/>
    </x:row>
    <x:row r="732">
      <x:c r="I732" s="58"/>
    </x:row>
    <x:row r="733">
      <x:c r="I733" s="58"/>
    </x:row>
    <x:row r="734">
      <x:c r="I734" s="58"/>
    </x:row>
    <x:row r="735">
      <x:c r="I735" s="58"/>
    </x:row>
    <x:row r="736">
      <x:c r="I736" s="58"/>
    </x:row>
    <x:row r="737">
      <x:c r="I737" s="58"/>
    </x:row>
    <x:row r="738">
      <x:c r="I738" s="58"/>
    </x:row>
    <x:row r="739">
      <x:c r="I739" s="58"/>
    </x:row>
    <x:row r="740">
      <x:c r="I740" s="58"/>
    </x:row>
    <x:row r="741">
      <x:c r="I741" s="58"/>
    </x:row>
    <x:row r="742">
      <x:c r="I742" s="58"/>
    </x:row>
    <x:row r="743">
      <x:c r="I743" s="58"/>
    </x:row>
    <x:row r="744">
      <x:c r="I744" s="58"/>
    </x:row>
    <x:row r="745">
      <x:c r="I745" s="58"/>
    </x:row>
    <x:row r="746">
      <x:c r="I746" s="58"/>
    </x:row>
    <x:row r="747">
      <x:c r="I747" s="58"/>
    </x:row>
    <x:row r="748">
      <x:c r="I748" s="58"/>
    </x:row>
    <x:row r="749">
      <x:c r="I749" s="58"/>
    </x:row>
    <x:row r="750">
      <x:c r="I750" s="58"/>
    </x:row>
    <x:row r="751">
      <x:c r="I751" s="58"/>
    </x:row>
    <x:row r="752">
      <x:c r="I752" s="58"/>
    </x:row>
    <x:row r="753">
      <x:c r="I753" s="58"/>
    </x:row>
    <x:row r="754">
      <x:c r="I754" s="58"/>
    </x:row>
    <x:row r="755">
      <x:c r="I755" s="58"/>
    </x:row>
    <x:row r="756">
      <x:c r="I756" s="58"/>
    </x:row>
    <x:row r="757">
      <x:c r="I757" s="58"/>
    </x:row>
    <x:row r="758">
      <x:c r="I758" s="58"/>
    </x:row>
    <x:row r="759">
      <x:c r="I759" s="58"/>
    </x:row>
    <x:row r="760">
      <x:c r="I760" s="58"/>
    </x:row>
    <x:row r="761">
      <x:c r="I761" s="58"/>
    </x:row>
    <x:row r="762">
      <x:c r="I762" s="58"/>
    </x:row>
    <x:row r="763">
      <x:c r="I763" s="58"/>
    </x:row>
    <x:row r="764">
      <x:c r="I764" s="58"/>
    </x:row>
    <x:row r="765">
      <x:c r="I765" s="58"/>
    </x:row>
    <x:row r="766">
      <x:c r="I766" s="58"/>
    </x:row>
    <x:row r="767">
      <x:c r="I767" s="58"/>
    </x:row>
    <x:row r="768">
      <x:c r="I768" s="58"/>
    </x:row>
    <x:row r="769">
      <x:c r="I769" s="58"/>
    </x:row>
    <x:row r="770">
      <x:c r="I770" s="58"/>
    </x:row>
    <x:row r="771">
      <x:c r="I771" s="58"/>
    </x:row>
    <x:row r="772">
      <x:c r="I772" s="58"/>
    </x:row>
    <x:row r="773">
      <x:c r="I773" s="58"/>
    </x:row>
    <x:row r="774">
      <x:c r="I774" s="58"/>
    </x:row>
    <x:row r="775">
      <x:c r="I775" s="58"/>
    </x:row>
    <x:row r="776">
      <x:c r="I776" s="58"/>
    </x:row>
    <x:row r="777">
      <x:c r="I777" s="58"/>
    </x:row>
    <x:row r="778">
      <x:c r="I778" s="58"/>
    </x:row>
    <x:row r="779">
      <x:c r="I779" s="58"/>
    </x:row>
    <x:row r="780">
      <x:c r="I780" s="58"/>
    </x:row>
    <x:row r="781">
      <x:c r="I781" s="58"/>
    </x:row>
    <x:row r="782">
      <x:c r="I782" s="58"/>
    </x:row>
    <x:row r="783">
      <x:c r="I783" s="58"/>
    </x:row>
    <x:row r="784">
      <x:c r="I784" s="58"/>
    </x:row>
    <x:row r="785">
      <x:c r="I785" s="58"/>
    </x:row>
    <x:row r="786">
      <x:c r="I786" s="58"/>
    </x:row>
    <x:row r="787">
      <x:c r="I787" s="58"/>
    </x:row>
    <x:row r="788">
      <x:c r="I788" s="58"/>
    </x:row>
    <x:row r="789">
      <x:c r="I789" s="58"/>
    </x:row>
    <x:row r="790">
      <x:c r="I790" s="58"/>
    </x:row>
    <x:row r="791">
      <x:c r="I791" s="58"/>
    </x:row>
    <x:row r="792">
      <x:c r="I792" s="58"/>
    </x:row>
    <x:row r="793">
      <x:c r="I793" s="58"/>
    </x:row>
    <x:row r="794">
      <x:c r="I794" s="58"/>
    </x:row>
    <x:row r="795">
      <x:c r="I795" s="58"/>
    </x:row>
    <x:row r="796">
      <x:c r="I796" s="58"/>
    </x:row>
    <x:row r="797">
      <x:c r="I797" s="58"/>
    </x:row>
    <x:row r="798">
      <x:c r="I798" s="58"/>
    </x:row>
    <x:row r="799">
      <x:c r="I799" s="58"/>
    </x:row>
    <x:row r="800">
      <x:c r="I800" s="58"/>
    </x:row>
    <x:row r="801">
      <x:c r="I801" s="58"/>
    </x:row>
    <x:row r="802">
      <x:c r="I802" s="58"/>
    </x:row>
    <x:row r="803">
      <x:c r="I803" s="58"/>
    </x:row>
    <x:row r="804">
      <x:c r="I804" s="58"/>
    </x:row>
    <x:row r="805">
      <x:c r="I805" s="58"/>
    </x:row>
    <x:row r="806">
      <x:c r="I806" s="58"/>
    </x:row>
    <x:row r="807">
      <x:c r="I807" s="58"/>
    </x:row>
    <x:row r="808">
      <x:c r="I808" s="58"/>
    </x:row>
    <x:row r="809">
      <x:c r="I809" s="58"/>
    </x:row>
    <x:row r="810">
      <x:c r="I810" s="58"/>
    </x:row>
    <x:row r="811">
      <x:c r="I811" s="58"/>
    </x:row>
    <x:row r="812">
      <x:c r="I812" s="58"/>
    </x:row>
    <x:row r="813">
      <x:c r="I813" s="58"/>
    </x:row>
    <x:row r="814">
      <x:c r="I814" s="58"/>
    </x:row>
    <x:row r="815">
      <x:c r="I815" s="58"/>
    </x:row>
    <x:row r="816">
      <x:c r="I816" s="58"/>
    </x:row>
    <x:row r="817">
      <x:c r="I817" s="58"/>
    </x:row>
    <x:row r="818">
      <x:c r="I818" s="58"/>
    </x:row>
    <x:row r="819">
      <x:c r="I819" s="58"/>
    </x:row>
    <x:row r="820">
      <x:c r="I820" s="58"/>
    </x:row>
    <x:row r="821">
      <x:c r="I821" s="58"/>
    </x:row>
    <x:row r="822">
      <x:c r="I822" s="58"/>
    </x:row>
    <x:row r="823">
      <x:c r="I823" s="58"/>
    </x:row>
    <x:row r="824">
      <x:c r="I824" s="58"/>
    </x:row>
    <x:row r="825">
      <x:c r="I825" s="58"/>
    </x:row>
    <x:row r="826">
      <x:c r="I826" s="58"/>
    </x:row>
    <x:row r="827">
      <x:c r="I827" s="58"/>
    </x:row>
    <x:row r="828">
      <x:c r="I828" s="58"/>
    </x:row>
    <x:row r="829">
      <x:c r="I829" s="58"/>
    </x:row>
    <x:row r="830">
      <x:c r="I830" s="58"/>
    </x:row>
    <x:row r="831">
      <x:c r="I831" s="58"/>
    </x:row>
    <x:row r="832">
      <x:c r="I832" s="58"/>
    </x:row>
    <x:row r="833">
      <x:c r="I833" s="58"/>
    </x:row>
    <x:row r="834">
      <x:c r="I834" s="58"/>
    </x:row>
    <x:row r="835">
      <x:c r="I835" s="58"/>
    </x:row>
    <x:row r="836">
      <x:c r="I836" s="58"/>
    </x:row>
    <x:row r="837">
      <x:c r="I837" s="58"/>
    </x:row>
    <x:row r="838">
      <x:c r="I838" s="58"/>
    </x:row>
    <x:row r="839">
      <x:c r="I839" s="58"/>
    </x:row>
    <x:row r="840">
      <x:c r="I840" s="58"/>
    </x:row>
    <x:row r="841">
      <x:c r="I841" s="58"/>
    </x:row>
    <x:row r="842">
      <x:c r="I842" s="58"/>
    </x:row>
    <x:row r="843">
      <x:c r="I843" s="58"/>
    </x:row>
    <x:row r="844">
      <x:c r="I844" s="58"/>
    </x:row>
    <x:row r="845">
      <x:c r="I845" s="58"/>
    </x:row>
    <x:row r="846">
      <x:c r="I846" s="58"/>
    </x:row>
    <x:row r="847">
      <x:c r="I847" s="58"/>
    </x:row>
    <x:row r="848">
      <x:c r="I848" s="58"/>
    </x:row>
    <x:row r="849">
      <x:c r="I849" s="58"/>
    </x:row>
    <x:row r="850">
      <x:c r="I850" s="58"/>
    </x:row>
    <x:row r="851">
      <x:c r="I851" s="58"/>
    </x:row>
    <x:row r="852">
      <x:c r="I852" s="58"/>
    </x:row>
    <x:row r="853">
      <x:c r="I853" s="58"/>
    </x:row>
    <x:row r="854">
      <x:c r="I854" s="58"/>
    </x:row>
    <x:row r="855">
      <x:c r="I855" s="58"/>
    </x:row>
    <x:row r="856">
      <x:c r="I856" s="58"/>
    </x:row>
    <x:row r="857">
      <x:c r="I857" s="58"/>
    </x:row>
    <x:row r="858">
      <x:c r="I858" s="58"/>
    </x:row>
    <x:row r="859">
      <x:c r="I859" s="58"/>
    </x:row>
    <x:row r="860">
      <x:c r="I860" s="58"/>
    </x:row>
    <x:row r="861">
      <x:c r="I861" s="58"/>
    </x:row>
    <x:row r="862">
      <x:c r="I862" s="58"/>
    </x:row>
    <x:row r="863">
      <x:c r="I863" s="58"/>
    </x:row>
    <x:row r="864">
      <x:c r="I864" s="58"/>
    </x:row>
    <x:row r="865">
      <x:c r="I865" s="58"/>
    </x:row>
    <x:row r="866">
      <x:c r="I866" s="58"/>
    </x:row>
    <x:row r="867">
      <x:c r="I867" s="58"/>
    </x:row>
    <x:row r="868">
      <x:c r="I868" s="58"/>
    </x:row>
    <x:row r="869">
      <x:c r="I869" s="58"/>
    </x:row>
    <x:row r="870">
      <x:c r="I870" s="58"/>
    </x:row>
    <x:row r="871">
      <x:c r="I871" s="58"/>
    </x:row>
    <x:row r="872">
      <x:c r="I872" s="58"/>
    </x:row>
    <x:row r="873">
      <x:c r="I873" s="58"/>
    </x:row>
    <x:row r="874">
      <x:c r="I874" s="58"/>
    </x:row>
    <x:row r="875">
      <x:c r="I875" s="58"/>
    </x:row>
    <x:row r="876">
      <x:c r="I876" s="58"/>
    </x:row>
    <x:row r="877">
      <x:c r="I877" s="58"/>
    </x:row>
    <x:row r="878">
      <x:c r="I878" s="58"/>
    </x:row>
    <x:row r="879">
      <x:c r="I879" s="58"/>
    </x:row>
    <x:row r="880">
      <x:c r="I880" s="58"/>
    </x:row>
    <x:row r="881">
      <x:c r="I881" s="58"/>
    </x:row>
    <x:row r="882">
      <x:c r="I882" s="58"/>
    </x:row>
    <x:row r="883">
      <x:c r="I883" s="58"/>
    </x:row>
    <x:row r="884">
      <x:c r="I884" s="58"/>
    </x:row>
    <x:row r="885">
      <x:c r="I885" s="58"/>
    </x:row>
    <x:row r="886">
      <x:c r="I886" s="58"/>
    </x:row>
    <x:row r="887">
      <x:c r="I887" s="58"/>
    </x:row>
    <x:row r="888">
      <x:c r="I888" s="58"/>
    </x:row>
    <x:row r="889">
      <x:c r="I889" s="58"/>
    </x:row>
    <x:row r="890">
      <x:c r="I890" s="58"/>
    </x:row>
    <x:row r="891">
      <x:c r="I891" s="58"/>
    </x:row>
    <x:row r="892">
      <x:c r="I892" s="58"/>
    </x:row>
    <x:row r="893">
      <x:c r="I893" s="58"/>
    </x:row>
    <x:row r="894">
      <x:c r="I894" s="58"/>
    </x:row>
    <x:row r="895">
      <x:c r="I895" s="58"/>
    </x:row>
    <x:row r="896">
      <x:c r="I896" s="58"/>
    </x:row>
    <x:row r="897">
      <x:c r="I897" s="58"/>
    </x:row>
    <x:row r="898">
      <x:c r="I898" s="58"/>
    </x:row>
    <x:row r="899">
      <x:c r="I899" s="58"/>
    </x:row>
    <x:row r="900">
      <x:c r="I900" s="58"/>
    </x:row>
    <x:row r="901">
      <x:c r="I901" s="58"/>
    </x:row>
    <x:row r="902">
      <x:c r="I902" s="58"/>
    </x:row>
    <x:row r="903">
      <x:c r="I903" s="58"/>
    </x:row>
    <x:row r="904">
      <x:c r="I904" s="58"/>
    </x:row>
    <x:row r="905">
      <x:c r="I905" s="58"/>
    </x:row>
    <x:row r="906">
      <x:c r="I906" s="58"/>
    </x:row>
    <x:row r="907">
      <x:c r="I907" s="58"/>
    </x:row>
    <x:row r="908">
      <x:c r="I908" s="58"/>
    </x:row>
    <x:row r="909">
      <x:c r="I909" s="58"/>
    </x:row>
    <x:row r="910">
      <x:c r="I910" s="58"/>
    </x:row>
    <x:row r="911">
      <x:c r="I911" s="58"/>
    </x:row>
    <x:row r="912">
      <x:c r="I912" s="58"/>
    </x:row>
    <x:row r="913">
      <x:c r="I913" s="58"/>
    </x:row>
    <x:row r="914">
      <x:c r="I914" s="58"/>
    </x:row>
    <x:row r="915">
      <x:c r="I915" s="58"/>
    </x:row>
    <x:row r="916">
      <x:c r="I916" s="58"/>
    </x:row>
    <x:row r="917">
      <x:c r="I917" s="58"/>
    </x:row>
    <x:row r="918">
      <x:c r="I918" s="58"/>
    </x:row>
    <x:row r="919">
      <x:c r="I919" s="58"/>
    </x:row>
    <x:row r="920">
      <x:c r="I920" s="58"/>
    </x:row>
    <x:row r="921">
      <x:c r="I921" s="58"/>
    </x:row>
    <x:row r="922">
      <x:c r="I922" s="58"/>
    </x:row>
    <x:row r="923">
      <x:c r="I923" s="58"/>
    </x:row>
    <x:row r="924">
      <x:c r="I924" s="58"/>
    </x:row>
    <x:row r="925">
      <x:c r="I925" s="58"/>
    </x:row>
    <x:row r="926">
      <x:c r="I926" s="58"/>
    </x:row>
    <x:row r="927">
      <x:c r="I927" s="58"/>
    </x:row>
    <x:row r="928">
      <x:c r="I928" s="58"/>
    </x:row>
    <x:row r="929">
      <x:c r="I929" s="58"/>
    </x:row>
    <x:row r="930">
      <x:c r="I930" s="58"/>
    </x:row>
    <x:row r="931">
      <x:c r="I931" s="58"/>
    </x:row>
    <x:row r="932">
      <x:c r="I932" s="58"/>
    </x:row>
    <x:row r="933">
      <x:c r="I933" s="58"/>
    </x:row>
    <x:row r="934">
      <x:c r="I934" s="58"/>
    </x:row>
    <x:row r="935">
      <x:c r="I935" s="58"/>
    </x:row>
    <x:row r="936">
      <x:c r="I936" s="58"/>
    </x:row>
    <x:row r="937">
      <x:c r="I937" s="58"/>
    </x:row>
    <x:row r="938">
      <x:c r="I938" s="58"/>
    </x:row>
    <x:row r="939">
      <x:c r="I939" s="58"/>
    </x:row>
    <x:row r="940">
      <x:c r="I940" s="58"/>
    </x:row>
    <x:row r="941">
      <x:c r="I941" s="58"/>
    </x:row>
    <x:row r="942">
      <x:c r="I942" s="58"/>
    </x:row>
    <x:row r="943">
      <x:c r="I943" s="58"/>
    </x:row>
    <x:row r="944">
      <x:c r="I944" s="58"/>
    </x:row>
    <x:row r="945">
      <x:c r="I945" s="58"/>
    </x:row>
    <x:row r="946">
      <x:c r="I946" s="58"/>
    </x:row>
    <x:row r="947">
      <x:c r="I947" s="58"/>
    </x:row>
    <x:row r="948">
      <x:c r="I948" s="58"/>
    </x:row>
    <x:row r="949">
      <x:c r="I949" s="58"/>
    </x:row>
    <x:row r="950">
      <x:c r="I950" s="58"/>
    </x:row>
    <x:row r="951">
      <x:c r="I951" s="58"/>
    </x:row>
    <x:row r="952">
      <x:c r="I952" s="58"/>
    </x:row>
    <x:row r="953">
      <x:c r="I953" s="58"/>
    </x:row>
    <x:row r="954">
      <x:c r="I954" s="58"/>
    </x:row>
    <x:row r="955">
      <x:c r="I955" s="58"/>
    </x:row>
    <x:row r="956">
      <x:c r="I956" s="58"/>
    </x:row>
    <x:row r="957">
      <x:c r="I957" s="58"/>
    </x:row>
    <x:row r="958">
      <x:c r="I958" s="58"/>
    </x:row>
    <x:row r="959">
      <x:c r="I959" s="58"/>
    </x:row>
    <x:row r="960">
      <x:c r="I960" s="58"/>
    </x:row>
    <x:row r="961">
      <x:c r="I961" s="58"/>
    </x:row>
    <x:row r="962">
      <x:c r="I962" s="58"/>
    </x:row>
    <x:row r="963">
      <x:c r="I963" s="58"/>
    </x:row>
    <x:row r="964">
      <x:c r="I964" s="58"/>
    </x:row>
    <x:row r="965">
      <x:c r="I965" s="58"/>
    </x:row>
    <x:row r="966">
      <x:c r="I966" s="58"/>
    </x:row>
    <x:row r="967">
      <x:c r="I967" s="58"/>
    </x:row>
    <x:row r="968">
      <x:c r="I968" s="58"/>
    </x:row>
    <x:row r="969">
      <x:c r="I969" s="58"/>
    </x:row>
    <x:row r="970">
      <x:c r="I970" s="58"/>
    </x:row>
    <x:row r="971">
      <x:c r="I971" s="58"/>
    </x:row>
    <x:row r="972">
      <x:c r="I972" s="58"/>
    </x:row>
    <x:row r="973">
      <x:c r="I973" s="58"/>
    </x:row>
    <x:row r="974">
      <x:c r="I974" s="58"/>
    </x:row>
    <x:row r="975">
      <x:c r="I975" s="58"/>
    </x:row>
    <x:row r="976">
      <x:c r="I976" s="58"/>
    </x:row>
    <x:row r="977">
      <x:c r="I977" s="58"/>
    </x:row>
    <x:row r="978">
      <x:c r="I978" s="58"/>
    </x:row>
    <x:row r="979">
      <x:c r="I979" s="58"/>
    </x:row>
    <x:row r="980">
      <x:c r="I980" s="58"/>
    </x:row>
    <x:row r="981">
      <x:c r="I981" s="58"/>
    </x:row>
    <x:row r="982">
      <x:c r="I982" s="58"/>
    </x:row>
    <x:row r="983">
      <x:c r="I983" s="58"/>
    </x:row>
    <x:row r="984">
      <x:c r="I984" s="58"/>
    </x:row>
    <x:row r="985">
      <x:c r="I985" s="58"/>
    </x:row>
    <x:row r="986">
      <x:c r="I986" s="58"/>
    </x:row>
    <x:row r="987">
      <x:c r="I987" s="58"/>
    </x:row>
    <x:row r="988">
      <x:c r="I988" s="58"/>
    </x:row>
    <x:row r="989">
      <x:c r="I989" s="58"/>
    </x:row>
    <x:row r="990">
      <x:c r="I990" s="58"/>
    </x:row>
    <x:row r="991">
      <x:c r="I991" s="58"/>
    </x:row>
    <x:row r="992">
      <x:c r="I992" s="58"/>
    </x:row>
    <x:row r="993">
      <x:c r="I993" s="58"/>
    </x:row>
    <x:row r="994">
      <x:c r="I994" s="58"/>
    </x:row>
    <x:row r="995">
      <x:c r="I995" s="58"/>
    </x:row>
    <x:row r="996">
      <x:c r="I996" s="58"/>
    </x:row>
    <x:row r="997">
      <x:c r="I997" s="58"/>
    </x:row>
    <x:row r="998">
      <x:c r="I998" s="58"/>
    </x:row>
    <x:row r="999">
      <x:c r="I999" s="58"/>
    </x:row>
    <x:row r="1000">
      <x:c r="I1000" s="58"/>
    </x:row>
    <x:row r="1001">
      <x:c r="I1001" s="58"/>
    </x:row>
    <x:row r="1002">
      <x:c r="I1002" s="58"/>
    </x:row>
    <x:row r="1003">
      <x:c r="I1003" s="58"/>
    </x:row>
    <x:row r="1004">
      <x:c r="I1004" s="58"/>
    </x:row>
    <x:row r="1005">
      <x:c r="I1005" s="58"/>
    </x:row>
    <x:row r="1006">
      <x:c r="I1006" s="58"/>
    </x:row>
    <x:row r="1007">
      <x:c r="I1007" s="58"/>
    </x:row>
    <x:row r="1008">
      <x:c r="I1008" s="58"/>
    </x:row>
    <x:row r="1009">
      <x:c r="I1009" s="58"/>
    </x:row>
    <x:row r="1010">
      <x:c r="I1010" s="58"/>
    </x:row>
    <x:row r="1011">
      <x:c r="I1011" s="58"/>
    </x:row>
    <x:row r="1012">
      <x:c r="I1012" s="58"/>
    </x:row>
    <x:row r="1013">
      <x:c r="I1013" s="58"/>
    </x:row>
    <x:row r="1014">
      <x:c r="I1014" s="58"/>
    </x:row>
    <x:row r="1015">
      <x:c r="I1015" s="58"/>
    </x:row>
    <x:row r="1016">
      <x:c r="I1016" s="58"/>
    </x:row>
    <x:row r="1017">
      <x:c r="I1017" s="58"/>
    </x:row>
    <x:row r="1018">
      <x:c r="I1018" s="58"/>
    </x:row>
    <x:row r="1019">
      <x:c r="I1019" s="58"/>
    </x:row>
    <x:row r="1020">
      <x:c r="I1020" s="58"/>
    </x:row>
    <x:row r="1021">
      <x:c r="I1021" s="58"/>
    </x:row>
    <x:row r="1022">
      <x:c r="I1022" s="58"/>
    </x:row>
    <x:row r="1023">
      <x:c r="I1023" s="58"/>
    </x:row>
    <x:row r="1024">
      <x:c r="I1024" s="58"/>
    </x:row>
    <x:row r="1025">
      <x:c r="I1025" s="58"/>
    </x:row>
    <x:row r="1026">
      <x:c r="I1026" s="58"/>
    </x:row>
    <x:row r="1027">
      <x:c r="I1027" s="58"/>
    </x:row>
    <x:row r="1028">
      <x:c r="I1028" s="58"/>
    </x:row>
    <x:row r="1029">
      <x:c r="I1029" s="58"/>
    </x:row>
    <x:row r="1030">
      <x:c r="I1030" s="58"/>
    </x:row>
    <x:row r="1031">
      <x:c r="I1031" s="58"/>
    </x:row>
    <x:row r="1032">
      <x:c r="I1032" s="58"/>
    </x:row>
    <x:row r="1033">
      <x:c r="I1033" s="58"/>
    </x:row>
    <x:row r="1034">
      <x:c r="I1034" s="58"/>
    </x:row>
    <x:row r="1035">
      <x:c r="I1035" s="58"/>
    </x:row>
    <x:row r="1036">
      <x:c r="I1036" s="58"/>
    </x:row>
    <x:row r="1037">
      <x:c r="I1037" s="58"/>
    </x:row>
    <x:row r="1038">
      <x:c r="I1038" s="58"/>
    </x:row>
    <x:row r="1039">
      <x:c r="I1039" s="58"/>
    </x:row>
    <x:row r="1040">
      <x:c r="I1040" s="58"/>
    </x:row>
    <x:row r="1041">
      <x:c r="I1041" s="58"/>
    </x:row>
    <x:row r="1042">
      <x:c r="I1042" s="58"/>
    </x:row>
    <x:row r="1043">
      <x:c r="I1043" s="58"/>
    </x:row>
    <x:row r="1044">
      <x:c r="I1044" s="58"/>
    </x:row>
    <x:row r="1045">
      <x:c r="I1045" s="58"/>
    </x:row>
    <x:row r="1046">
      <x:c r="I1046" s="58"/>
    </x:row>
    <x:row r="1047">
      <x:c r="I1047" s="58"/>
    </x:row>
    <x:row r="1048">
      <x:c r="I1048" s="58"/>
    </x:row>
    <x:row r="1049">
      <x:c r="I1049" s="58"/>
    </x:row>
    <x:row r="1050">
      <x:c r="I1050" s="58"/>
    </x:row>
    <x:row r="1051">
      <x:c r="I1051" s="58"/>
    </x:row>
    <x:row r="1052">
      <x:c r="I1052" s="58"/>
    </x:row>
    <x:row r="1053">
      <x:c r="I1053" s="58"/>
    </x:row>
    <x:row r="1054">
      <x:c r="I1054" s="58"/>
    </x:row>
    <x:row r="1055">
      <x:c r="I1055" s="58"/>
    </x:row>
    <x:row r="1056">
      <x:c r="I1056" s="58"/>
    </x:row>
    <x:row r="1057">
      <x:c r="I1057" s="58"/>
    </x:row>
    <x:row r="1058">
      <x:c r="I1058" s="58"/>
    </x:row>
    <x:row r="1059">
      <x:c r="I1059" s="58"/>
    </x:row>
    <x:row r="1060">
      <x:c r="I1060" s="58"/>
    </x:row>
    <x:row r="1061">
      <x:c r="I1061" s="58"/>
    </x:row>
    <x:row r="1062">
      <x:c r="I1062" s="58"/>
    </x:row>
    <x:row r="1063">
      <x:c r="I1063" s="58"/>
    </x:row>
    <x:row r="1064">
      <x:c r="I1064" s="58"/>
    </x:row>
    <x:row r="1065">
      <x:c r="I1065" s="58"/>
    </x:row>
    <x:row r="1066">
      <x:c r="I1066" s="58"/>
    </x:row>
    <x:row r="1067">
      <x:c r="I1067" s="58"/>
    </x:row>
    <x:row r="1068">
      <x:c r="I1068" s="58"/>
    </x:row>
    <x:row r="1069">
      <x:c r="I1069" s="58"/>
    </x:row>
    <x:row r="1070">
      <x:c r="I1070" s="58"/>
    </x:row>
    <x:row r="1071">
      <x:c r="I1071" s="58"/>
    </x:row>
    <x:row r="1072">
      <x:c r="I1072" s="58"/>
    </x:row>
    <x:row r="1073">
      <x:c r="I1073" s="58"/>
    </x:row>
    <x:row r="1074">
      <x:c r="I1074" s="58"/>
    </x:row>
    <x:row r="1075">
      <x:c r="I1075" s="58"/>
    </x:row>
    <x:row r="1076">
      <x:c r="I1076" s="58"/>
    </x:row>
    <x:row r="1077">
      <x:c r="I1077" s="58"/>
    </x:row>
    <x:row r="1078">
      <x:c r="I1078" s="58"/>
    </x:row>
    <x:row r="1079">
      <x:c r="I1079" s="58"/>
    </x:row>
    <x:row r="1080">
      <x:c r="I1080" s="58"/>
    </x:row>
    <x:row r="1081">
      <x:c r="I1081" s="58"/>
    </x:row>
    <x:row r="1082">
      <x:c r="I1082" s="58"/>
    </x:row>
    <x:row r="1083">
      <x:c r="I1083" s="58"/>
    </x:row>
    <x:row r="1084">
      <x:c r="I1084" s="58"/>
    </x:row>
    <x:row r="1085">
      <x:c r="I1085" s="58"/>
    </x:row>
    <x:row r="1086">
      <x:c r="I1086" s="58"/>
    </x:row>
    <x:row r="1087">
      <x:c r="I1087" s="58"/>
    </x:row>
    <x:row r="1088">
      <x:c r="I1088" s="58"/>
    </x:row>
    <x:row r="1089">
      <x:c r="I1089" s="58"/>
    </x:row>
    <x:row r="1090">
      <x:c r="I1090" s="58"/>
    </x:row>
    <x:row r="1091">
      <x:c r="I1091" s="58"/>
    </x:row>
    <x:row r="1092">
      <x:c r="I1092" s="58"/>
    </x:row>
    <x:row r="1093">
      <x:c r="I1093" s="58"/>
    </x:row>
    <x:row r="1094">
      <x:c r="I1094" s="58"/>
    </x:row>
    <x:row r="1095">
      <x:c r="I1095" s="58"/>
    </x:row>
    <x:row r="1096">
      <x:c r="I1096" s="58"/>
    </x:row>
    <x:row r="1097">
      <x:c r="I1097" s="58"/>
    </x:row>
    <x:row r="1098">
      <x:c r="I1098" s="58"/>
    </x:row>
    <x:row r="1099">
      <x:c r="I1099" s="58"/>
    </x:row>
    <x:row r="1100">
      <x:c r="I1100" s="58"/>
    </x:row>
    <x:row r="1101">
      <x:c r="I1101" s="58"/>
    </x:row>
    <x:row r="1102">
      <x:c r="I1102" s="58"/>
    </x:row>
    <x:row r="1103">
      <x:c r="I1103" s="58"/>
    </x:row>
    <x:row r="1104">
      <x:c r="I1104" s="58"/>
    </x:row>
    <x:row r="1105">
      <x:c r="I1105" s="58"/>
    </x:row>
    <x:row r="1106">
      <x:c r="I1106" s="58"/>
    </x:row>
    <x:row r="1107">
      <x:c r="I1107" s="58"/>
    </x:row>
    <x:row r="1108">
      <x:c r="I1108" s="58"/>
    </x:row>
    <x:row r="1109">
      <x:c r="I1109" s="58"/>
    </x:row>
    <x:row r="1110">
      <x:c r="I1110" s="58"/>
    </x:row>
    <x:row r="1111">
      <x:c r="I1111" s="58"/>
    </x:row>
    <x:row r="1112">
      <x:c r="I1112" s="58"/>
    </x:row>
    <x:row r="1113">
      <x:c r="I1113" s="58"/>
    </x:row>
    <x:row r="1114">
      <x:c r="I1114" s="58"/>
    </x:row>
    <x:row r="1115">
      <x:c r="I1115" s="58"/>
    </x:row>
    <x:row r="1116">
      <x:c r="I1116" s="58"/>
    </x:row>
    <x:row r="1117">
      <x:c r="I1117" s="58"/>
    </x:row>
    <x:row r="1118">
      <x:c r="I1118" s="58"/>
    </x:row>
    <x:row r="1119">
      <x:c r="I1119" s="58"/>
    </x:row>
    <x:row r="1120">
      <x:c r="I1120" s="58"/>
    </x:row>
    <x:row r="1121">
      <x:c r="I1121" s="58"/>
    </x:row>
    <x:row r="1122">
      <x:c r="I1122" s="58"/>
    </x:row>
    <x:row r="1123">
      <x:c r="I1123" s="58"/>
    </x:row>
    <x:row r="1124">
      <x:c r="I1124" s="58"/>
    </x:row>
    <x:row r="1125">
      <x:c r="I1125" s="58"/>
    </x:row>
    <x:row r="1126">
      <x:c r="I1126" s="58"/>
    </x:row>
    <x:row r="1127">
      <x:c r="I1127" s="58"/>
    </x:row>
    <x:row r="1128">
      <x:c r="I1128" s="58"/>
    </x:row>
    <x:row r="1129">
      <x:c r="I1129" s="58"/>
    </x:row>
    <x:row r="1130">
      <x:c r="I1130" s="58"/>
    </x:row>
    <x:row r="1131">
      <x:c r="I1131" s="58"/>
    </x:row>
    <x:row r="1132">
      <x:c r="I1132" s="58"/>
    </x:row>
    <x:row r="1133">
      <x:c r="I1133" s="58"/>
    </x:row>
    <x:row r="1134">
      <x:c r="I1134" s="58"/>
    </x:row>
    <x:row r="1135">
      <x:c r="I1135" s="58"/>
    </x:row>
    <x:row r="1136">
      <x:c r="I1136" s="58"/>
    </x:row>
    <x:row r="1137">
      <x:c r="I1137" s="58"/>
    </x:row>
    <x:row r="1138">
      <x:c r="I1138" s="58"/>
    </x:row>
    <x:row r="1139">
      <x:c r="I1139" s="58"/>
    </x:row>
    <x:row r="1140">
      <x:c r="I1140" s="58"/>
    </x:row>
    <x:row r="1141">
      <x:c r="I1141" s="58"/>
    </x:row>
    <x:row r="1142">
      <x:c r="I1142" s="58"/>
    </x:row>
    <x:row r="1143">
      <x:c r="I1143" s="58"/>
    </x:row>
    <x:row r="1144">
      <x:c r="I1144" s="58"/>
    </x:row>
    <x:row r="1145">
      <x:c r="I1145" s="58"/>
    </x:row>
    <x:row r="1146">
      <x:c r="I1146" s="58"/>
    </x:row>
    <x:row r="1147">
      <x:c r="I1147" s="58"/>
    </x:row>
    <x:row r="1148">
      <x:c r="I1148" s="58"/>
    </x:row>
    <x:row r="1149">
      <x:c r="I1149" s="58"/>
    </x:row>
    <x:row r="1150">
      <x:c r="I1150" s="58"/>
    </x:row>
    <x:row r="1151">
      <x:c r="I1151" s="58"/>
    </x:row>
    <x:row r="1152">
      <x:c r="I1152" s="58"/>
    </x:row>
    <x:row r="1153">
      <x:c r="I1153" s="58"/>
    </x:row>
    <x:row r="1154">
      <x:c r="I1154" s="58"/>
    </x:row>
    <x:row r="1155">
      <x:c r="I1155" s="58"/>
    </x:row>
    <x:row r="1156">
      <x:c r="I1156" s="58"/>
    </x:row>
    <x:row r="1157">
      <x:c r="I1157" s="58"/>
    </x:row>
    <x:row r="1158">
      <x:c r="I1158" s="58"/>
    </x:row>
    <x:row r="1159">
      <x:c r="I1159" s="58"/>
    </x:row>
    <x:row r="1160">
      <x:c r="I1160" s="58"/>
    </x:row>
    <x:row r="1161">
      <x:c r="I1161" s="58"/>
    </x:row>
    <x:row r="1162">
      <x:c r="I1162" s="58"/>
    </x:row>
    <x:row r="1163">
      <x:c r="I1163" s="58"/>
    </x:row>
    <x:row r="1164">
      <x:c r="I1164" s="58"/>
    </x:row>
    <x:row r="1165">
      <x:c r="I1165" s="58"/>
    </x:row>
    <x:row r="1166">
      <x:c r="I1166" s="58"/>
    </x:row>
    <x:row r="1167">
      <x:c r="I1167" s="58"/>
    </x:row>
    <x:row r="1168">
      <x:c r="I1168" s="58"/>
    </x:row>
    <x:row r="1169">
      <x:c r="I1169" s="58"/>
    </x:row>
    <x:row r="1170">
      <x:c r="I1170" s="58"/>
    </x:row>
    <x:row r="1171">
      <x:c r="I1171" s="58"/>
    </x:row>
    <x:row r="1172">
      <x:c r="I1172" s="58"/>
    </x:row>
    <x:row r="1173">
      <x:c r="I1173" s="58"/>
    </x:row>
    <x:row r="1174">
      <x:c r="I1174" s="58"/>
    </x:row>
    <x:row r="1175">
      <x:c r="I1175" s="58"/>
    </x:row>
    <x:row r="1176">
      <x:c r="I1176" s="58"/>
    </x:row>
    <x:row r="1177">
      <x:c r="I1177" s="58"/>
    </x:row>
    <x:row r="1178">
      <x:c r="I1178" s="58"/>
    </x:row>
    <x:row r="1179">
      <x:c r="I1179" s="58"/>
    </x:row>
    <x:row r="1180">
      <x:c r="I1180" s="58"/>
    </x:row>
    <x:row r="1181">
      <x:c r="I1181" s="58"/>
    </x:row>
    <x:row r="1182">
      <x:c r="I1182" s="58"/>
    </x:row>
    <x:row r="1183">
      <x:c r="I1183" s="58"/>
    </x:row>
    <x:row r="1184">
      <x:c r="I1184" s="58"/>
    </x:row>
    <x:row r="1185">
      <x:c r="I1185" s="58"/>
    </x:row>
    <x:row r="1186">
      <x:c r="I1186" s="58"/>
    </x:row>
    <x:row r="1187">
      <x:c r="I1187" s="58"/>
    </x:row>
    <x:row r="1188">
      <x:c r="I1188" s="58"/>
    </x:row>
    <x:row r="1189">
      <x:c r="I1189" s="58"/>
    </x:row>
    <x:row r="1190">
      <x:c r="I1190" s="58"/>
    </x:row>
    <x:row r="1191">
      <x:c r="I1191" s="58"/>
    </x:row>
    <x:row r="1192">
      <x:c r="I1192" s="58"/>
    </x:row>
    <x:row r="1193">
      <x:c r="I1193" s="58"/>
    </x:row>
    <x:row r="1194">
      <x:c r="I1194" s="58"/>
    </x:row>
    <x:row r="1195">
      <x:c r="I1195" s="58"/>
    </x:row>
    <x:row r="1196">
      <x:c r="I1196" s="58"/>
    </x:row>
    <x:row r="1197">
      <x:c r="I1197" s="58"/>
    </x:row>
    <x:row r="1198">
      <x:c r="I1198" s="58"/>
    </x:row>
    <x:row r="1199">
      <x:c r="I1199" s="58"/>
    </x:row>
    <x:row r="1200">
      <x:c r="I1200" s="58"/>
    </x:row>
    <x:row r="1201">
      <x:c r="I1201" s="58"/>
    </x:row>
    <x:row r="1202">
      <x:c r="I1202" s="58"/>
    </x:row>
    <x:row r="1203">
      <x:c r="I1203" s="58"/>
    </x:row>
    <x:row r="1204">
      <x:c r="I1204" s="58"/>
    </x:row>
    <x:row r="1205">
      <x:c r="I1205" s="58"/>
    </x:row>
    <x:row r="1206">
      <x:c r="I1206" s="58"/>
    </x:row>
    <x:row r="1207">
      <x:c r="I1207" s="58"/>
    </x:row>
    <x:row r="1208">
      <x:c r="I1208" s="58"/>
    </x:row>
    <x:row r="1209">
      <x:c r="I1209" s="58"/>
    </x:row>
    <x:row r="1210">
      <x:c r="I1210" s="58"/>
    </x:row>
    <x:row r="1211">
      <x:c r="I1211" s="58"/>
    </x:row>
    <x:row r="1212">
      <x:c r="I1212" s="58"/>
    </x:row>
    <x:row r="1213">
      <x:c r="I1213" s="58"/>
    </x:row>
    <x:row r="1214">
      <x:c r="I1214" s="58"/>
    </x:row>
    <x:row r="1215">
      <x:c r="I1215" s="58"/>
    </x:row>
    <x:row r="1216">
      <x:c r="I1216" s="58"/>
    </x:row>
    <x:row r="1217">
      <x:c r="I1217" s="58"/>
    </x:row>
    <x:row r="1218">
      <x:c r="I1218" s="58"/>
    </x:row>
    <x:row r="1219">
      <x:c r="I1219" s="58"/>
    </x:row>
    <x:row r="1220">
      <x:c r="I1220" s="58"/>
    </x:row>
    <x:row r="1221">
      <x:c r="I1221" s="58"/>
    </x:row>
    <x:row r="1222">
      <x:c r="I1222" s="58"/>
    </x:row>
    <x:row r="1223">
      <x:c r="I1223" s="58"/>
    </x:row>
    <x:row r="1224">
      <x:c r="I1224" s="58"/>
    </x:row>
    <x:row r="1225">
      <x:c r="I1225" s="58"/>
    </x:row>
    <x:row r="1226">
      <x:c r="I1226" s="58"/>
    </x:row>
    <x:row r="1227">
      <x:c r="I1227" s="58"/>
    </x:row>
    <x:row r="1228">
      <x:c r="I1228" s="58"/>
    </x:row>
    <x:row r="1229">
      <x:c r="I1229" s="58"/>
    </x:row>
    <x:row r="1230">
      <x:c r="I1230" s="58"/>
    </x:row>
    <x:row r="1231">
      <x:c r="I1231" s="58"/>
    </x:row>
    <x:row r="1232">
      <x:c r="I1232" s="58"/>
    </x:row>
    <x:row r="1233">
      <x:c r="I1233" s="58"/>
    </x:row>
    <x:row r="1234">
      <x:c r="I1234" s="58"/>
    </x:row>
    <x:row r="1235">
      <x:c r="I1235" s="58"/>
    </x:row>
    <x:row r="1236">
      <x:c r="I1236" s="58"/>
    </x:row>
    <x:row r="1237">
      <x:c r="I1237" s="58"/>
    </x:row>
    <x:row r="1238">
      <x:c r="I1238" s="58"/>
    </x:row>
    <x:row r="1239">
      <x:c r="I1239" s="58"/>
    </x:row>
    <x:row r="1240">
      <x:c r="I1240" s="58"/>
    </x:row>
    <x:row r="1241">
      <x:c r="I1241" s="58"/>
    </x:row>
    <x:row r="1242">
      <x:c r="I1242" s="58"/>
    </x:row>
    <x:row r="1243">
      <x:c r="I1243" s="58"/>
    </x:row>
    <x:row r="1244">
      <x:c r="I1244" s="58"/>
    </x:row>
    <x:row r="1245">
      <x:c r="I1245" s="58"/>
    </x:row>
    <x:row r="1246">
      <x:c r="I1246" s="58"/>
    </x:row>
    <x:row r="1247">
      <x:c r="I1247" s="58"/>
    </x:row>
    <x:row r="1248">
      <x:c r="I1248" s="58"/>
    </x:row>
    <x:row r="1249">
      <x:c r="I1249" s="58"/>
    </x:row>
    <x:row r="1250">
      <x:c r="I1250" s="58"/>
    </x:row>
    <x:row r="1251">
      <x:c r="I1251" s="58"/>
    </x:row>
    <x:row r="1252">
      <x:c r="I1252" s="58"/>
    </x:row>
    <x:row r="1253">
      <x:c r="I1253" s="58"/>
    </x:row>
    <x:row r="1254">
      <x:c r="I1254" s="58"/>
    </x:row>
    <x:row r="1255">
      <x:c r="I1255" s="58"/>
    </x:row>
    <x:row r="1256">
      <x:c r="I1256" s="58"/>
    </x:row>
    <x:row r="1257">
      <x:c r="I1257" s="58"/>
    </x:row>
    <x:row r="1258">
      <x:c r="I1258" s="58"/>
    </x:row>
    <x:row r="1259">
      <x:c r="I1259" s="58"/>
    </x:row>
    <x:row r="1260">
      <x:c r="I1260" s="58"/>
    </x:row>
    <x:row r="1261">
      <x:c r="I1261" s="58"/>
    </x:row>
    <x:row r="1262">
      <x:c r="I1262" s="58"/>
    </x:row>
    <x:row r="1263">
      <x:c r="I1263" s="58"/>
    </x:row>
    <x:row r="1264">
      <x:c r="I1264" s="58"/>
    </x:row>
    <x:row r="1265">
      <x:c r="I1265" s="58"/>
    </x:row>
    <x:row r="1266">
      <x:c r="I1266" s="58"/>
    </x:row>
    <x:row r="1267">
      <x:c r="I1267" s="58"/>
    </x:row>
    <x:row r="1268">
      <x:c r="I1268" s="58"/>
    </x:row>
    <x:row r="1269">
      <x:c r="I1269" s="58"/>
    </x:row>
    <x:row r="1270">
      <x:c r="I1270" s="58"/>
    </x:row>
    <x:row r="1271">
      <x:c r="I1271" s="58"/>
    </x:row>
    <x:row r="1272">
      <x:c r="I1272" s="58"/>
    </x:row>
    <x:row r="1273">
      <x:c r="I1273" s="58"/>
    </x:row>
    <x:row r="1274">
      <x:c r="I1274" s="58"/>
    </x:row>
    <x:row r="1275">
      <x:c r="I1275" s="58"/>
    </x:row>
    <x:row r="1276">
      <x:c r="I1276" s="58"/>
    </x:row>
    <x:row r="1277">
      <x:c r="I1277" s="58"/>
    </x:row>
    <x:row r="1278">
      <x:c r="I1278" s="58"/>
    </x:row>
    <x:row r="1279">
      <x:c r="I1279" s="58"/>
    </x:row>
    <x:row r="1280">
      <x:c r="I1280" s="58"/>
    </x:row>
    <x:row r="1281">
      <x:c r="I1281" s="58"/>
    </x:row>
    <x:row r="1282">
      <x:c r="I1282" s="58"/>
    </x:row>
    <x:row r="1283">
      <x:c r="I1283" s="58"/>
    </x:row>
    <x:row r="1284">
      <x:c r="I1284" s="58"/>
    </x:row>
    <x:row r="1285">
      <x:c r="I1285" s="58"/>
    </x:row>
    <x:row r="1286">
      <x:c r="I1286" s="58"/>
    </x:row>
    <x:row r="1287">
      <x:c r="I1287" s="58"/>
    </x:row>
    <x:row r="1288">
      <x:c r="I1288" s="58"/>
    </x:row>
    <x:row r="1289">
      <x:c r="I1289" s="58"/>
    </x:row>
    <x:row r="1290">
      <x:c r="I1290" s="58"/>
    </x:row>
    <x:row r="1291">
      <x:c r="I1291" s="58"/>
    </x:row>
    <x:row r="1292">
      <x:c r="I1292" s="58"/>
    </x:row>
    <x:row r="1293">
      <x:c r="I1293" s="58"/>
    </x:row>
    <x:row r="1294">
      <x:c r="I1294" s="58"/>
    </x:row>
    <x:row r="1295">
      <x:c r="I1295" s="58"/>
    </x:row>
    <x:row r="1296">
      <x:c r="I1296" s="58"/>
    </x:row>
    <x:row r="1297">
      <x:c r="I1297" s="58"/>
    </x:row>
    <x:row r="1298">
      <x:c r="I1298" s="58"/>
    </x:row>
    <x:row r="1299">
      <x:c r="I1299" s="58"/>
    </x:row>
    <x:row r="1300">
      <x:c r="I1300" s="58"/>
    </x:row>
    <x:row r="1301">
      <x:c r="I1301" s="58"/>
    </x:row>
    <x:row r="1302">
      <x:c r="I1302" s="58"/>
    </x:row>
    <x:row r="1303">
      <x:c r="I1303" s="58"/>
    </x:row>
    <x:row r="1304">
      <x:c r="I1304" s="58"/>
    </x:row>
    <x:row r="1305">
      <x:c r="I1305" s="58"/>
    </x:row>
    <x:row r="1306">
      <x:c r="I1306" s="58"/>
    </x:row>
    <x:row r="1307">
      <x:c r="I1307" s="58"/>
    </x:row>
    <x:row r="1308">
      <x:c r="I1308" s="58"/>
    </x:row>
    <x:row r="1309">
      <x:c r="I1309" s="58"/>
    </x:row>
    <x:row r="1310">
      <x:c r="I1310" s="58"/>
    </x:row>
    <x:row r="1311">
      <x:c r="I1311" s="58"/>
    </x:row>
    <x:row r="1312">
      <x:c r="I1312" s="58"/>
    </x:row>
    <x:row r="1313">
      <x:c r="I1313" s="58"/>
    </x:row>
    <x:row r="1314">
      <x:c r="I1314" s="58"/>
    </x:row>
    <x:row r="1315">
      <x:c r="I1315" s="58"/>
    </x:row>
    <x:row r="1316">
      <x:c r="I1316" s="58"/>
    </x:row>
    <x:row r="1317">
      <x:c r="I1317" s="58"/>
    </x:row>
    <x:row r="1318">
      <x:c r="I1318" s="58"/>
    </x:row>
    <x:row r="1319">
      <x:c r="I1319" s="58"/>
    </x:row>
    <x:row r="1320">
      <x:c r="I1320" s="58"/>
    </x:row>
    <x:row r="1321">
      <x:c r="I1321" s="58"/>
    </x:row>
    <x:row r="1322">
      <x:c r="I1322" s="58"/>
    </x:row>
    <x:row r="1323">
      <x:c r="I1323" s="58"/>
    </x:row>
    <x:row r="1324">
      <x:c r="I1324" s="58"/>
    </x:row>
    <x:row r="1325">
      <x:c r="I1325" s="58"/>
    </x:row>
    <x:row r="1326">
      <x:c r="I1326" s="58"/>
    </x:row>
    <x:row r="1327">
      <x:c r="I1327" s="58"/>
    </x:row>
    <x:row r="1328">
      <x:c r="I1328" s="58"/>
    </x:row>
    <x:row r="1329">
      <x:c r="I1329" s="58"/>
    </x:row>
    <x:row r="1330">
      <x:c r="I1330" s="58"/>
    </x:row>
    <x:row r="1331">
      <x:c r="I1331" s="58"/>
    </x:row>
    <x:row r="1332">
      <x:c r="I1332" s="58"/>
    </x:row>
    <x:row r="1333">
      <x:c r="I1333" s="58"/>
    </x:row>
    <x:row r="1334">
      <x:c r="I1334" s="58"/>
    </x:row>
    <x:row r="1335">
      <x:c r="I1335" s="58"/>
    </x:row>
    <x:row r="1336">
      <x:c r="I1336" s="58"/>
    </x:row>
    <x:row r="1337">
      <x:c r="I1337" s="58"/>
    </x:row>
    <x:row r="1338">
      <x:c r="I1338" s="58"/>
    </x:row>
    <x:row r="1339">
      <x:c r="I1339" s="58"/>
    </x:row>
    <x:row r="1340">
      <x:c r="I1340" s="58"/>
    </x:row>
    <x:row r="1341">
      <x:c r="I1341" s="58"/>
    </x:row>
    <x:row r="1342">
      <x:c r="I1342" s="58"/>
    </x:row>
    <x:row r="1343">
      <x:c r="I1343" s="58"/>
    </x:row>
    <x:row r="1344">
      <x:c r="I1344" s="58"/>
    </x:row>
    <x:row r="1345">
      <x:c r="I1345" s="58"/>
    </x:row>
    <x:row r="1346">
      <x:c r="I1346" s="58"/>
    </x:row>
    <x:row r="1347">
      <x:c r="I1347" s="58"/>
    </x:row>
    <x:row r="1348">
      <x:c r="I1348" s="58"/>
    </x:row>
    <x:row r="1349">
      <x:c r="I1349" s="58"/>
    </x:row>
    <x:row r="1350">
      <x:c r="I1350" s="58"/>
    </x:row>
    <x:row r="1351">
      <x:c r="I1351" s="58"/>
    </x:row>
    <x:row r="1352">
      <x:c r="I1352" s="58"/>
    </x:row>
    <x:row r="1353">
      <x:c r="I1353" s="58"/>
    </x:row>
    <x:row r="1354">
      <x:c r="I1354" s="58"/>
    </x:row>
    <x:row r="1355">
      <x:c r="I1355" s="58"/>
    </x:row>
    <x:row r="1356">
      <x:c r="I1356" s="58"/>
    </x:row>
    <x:row r="1357">
      <x:c r="I1357" s="58"/>
    </x:row>
    <x:row r="1358">
      <x:c r="I1358" s="58"/>
    </x:row>
    <x:row r="1359">
      <x:c r="I1359" s="58"/>
    </x:row>
    <x:row r="1360">
      <x:c r="I1360" s="58"/>
    </x:row>
    <x:row r="1361">
      <x:c r="I1361" s="58"/>
    </x:row>
    <x:row r="1362">
      <x:c r="I1362" s="58"/>
    </x:row>
    <x:row r="1363">
      <x:c r="I1363" s="58"/>
    </x:row>
    <x:row r="1364">
      <x:c r="I1364" s="58"/>
    </x:row>
    <x:row r="1365">
      <x:c r="I1365" s="58"/>
    </x:row>
    <x:row r="1366">
      <x:c r="I1366" s="58"/>
    </x:row>
    <x:row r="1367">
      <x:c r="I1367" s="58"/>
    </x:row>
    <x:row r="1368">
      <x:c r="I1368" s="58"/>
    </x:row>
    <x:row r="1369">
      <x:c r="I1369" s="58"/>
    </x:row>
    <x:row r="1370">
      <x:c r="I1370" s="58"/>
    </x:row>
    <x:row r="1371">
      <x:c r="I1371" s="58"/>
    </x:row>
    <x:row r="1372">
      <x:c r="I1372" s="58"/>
    </x:row>
    <x:row r="1373">
      <x:c r="I1373" s="58"/>
    </x:row>
    <x:row r="1374">
      <x:c r="I1374" s="58"/>
    </x:row>
    <x:row r="1375">
      <x:c r="I1375" s="58"/>
    </x:row>
    <x:row r="1376">
      <x:c r="I1376" s="58"/>
    </x:row>
    <x:row r="1377">
      <x:c r="I1377" s="58"/>
    </x:row>
    <x:row r="1378">
      <x:c r="I1378" s="58"/>
    </x:row>
    <x:row r="1379">
      <x:c r="I1379" s="58"/>
    </x:row>
    <x:row r="1380">
      <x:c r="I1380" s="58"/>
    </x:row>
    <x:row r="1381">
      <x:c r="I1381" s="58"/>
    </x:row>
    <x:row r="1382">
      <x:c r="I1382" s="58"/>
    </x:row>
    <x:row r="1383">
      <x:c r="I1383" s="58"/>
    </x:row>
    <x:row r="1384">
      <x:c r="I1384" s="58"/>
    </x:row>
    <x:row r="1385">
      <x:c r="I1385" s="58"/>
    </x:row>
    <x:row r="1386">
      <x:c r="I1386" s="58"/>
    </x:row>
    <x:row r="1387">
      <x:c r="I1387" s="58"/>
    </x:row>
    <x:row r="1388">
      <x:c r="I1388" s="58"/>
    </x:row>
    <x:row r="1389">
      <x:c r="I1389" s="58"/>
    </x:row>
    <x:row r="1390">
      <x:c r="I1390" s="58"/>
    </x:row>
    <x:row r="1391">
      <x:c r="I1391" s="58"/>
    </x:row>
    <x:row r="1392">
      <x:c r="I1392" s="58"/>
    </x:row>
    <x:row r="1393">
      <x:c r="I1393" s="58"/>
    </x:row>
    <x:row r="1394">
      <x:c r="I1394" s="58"/>
    </x:row>
    <x:row r="1395">
      <x:c r="I1395" s="58"/>
    </x:row>
    <x:row r="1396">
      <x:c r="I1396" s="58"/>
    </x:row>
    <x:row r="1397">
      <x:c r="I1397" s="58"/>
    </x:row>
    <x:row r="1398">
      <x:c r="I1398" s="58"/>
    </x:row>
    <x:row r="1399">
      <x:c r="I1399" s="58"/>
    </x:row>
    <x:row r="1400">
      <x:c r="I1400" s="58"/>
    </x:row>
    <x:row r="1401">
      <x:c r="I1401" s="58"/>
    </x:row>
    <x:row r="1402">
      <x:c r="I1402" s="58"/>
    </x:row>
    <x:row r="1403">
      <x:c r="I1403" s="58"/>
    </x:row>
    <x:row r="1404">
      <x:c r="I1404" s="58"/>
    </x:row>
    <x:row r="1405">
      <x:c r="I1405" s="58"/>
    </x:row>
    <x:row r="1406">
      <x:c r="I1406" s="58"/>
    </x:row>
    <x:row r="1407">
      <x:c r="I1407" s="58"/>
    </x:row>
    <x:row r="1408">
      <x:c r="I1408" s="58"/>
    </x:row>
    <x:row r="1409">
      <x:c r="I1409" s="58"/>
    </x:row>
    <x:row r="1410">
      <x:c r="I1410" s="58"/>
    </x:row>
    <x:row r="1411">
      <x:c r="I1411" s="58"/>
    </x:row>
    <x:row r="1412">
      <x:c r="I1412" s="58"/>
    </x:row>
    <x:row r="1413">
      <x:c r="I1413" s="58"/>
    </x:row>
    <x:row r="1414">
      <x:c r="I1414" s="58"/>
    </x:row>
    <x:row r="1415">
      <x:c r="I1415" s="58"/>
    </x:row>
    <x:row r="1416">
      <x:c r="I1416" s="58"/>
    </x:row>
    <x:row r="1417">
      <x:c r="I1417" s="58"/>
    </x:row>
    <x:row r="1418">
      <x:c r="I1418" s="58"/>
    </x:row>
    <x:row r="1419">
      <x:c r="I1419" s="58"/>
    </x:row>
    <x:row r="1420">
      <x:c r="I1420" s="58"/>
    </x:row>
    <x:row r="1421">
      <x:c r="I1421" s="58"/>
    </x:row>
    <x:row r="1422">
      <x:c r="I1422" s="58"/>
    </x:row>
    <x:row r="1423">
      <x:c r="I1423" s="58"/>
    </x:row>
    <x:row r="1424">
      <x:c r="I1424" s="58"/>
    </x:row>
    <x:row r="1425">
      <x:c r="I1425" s="58"/>
    </x:row>
    <x:row r="1426">
      <x:c r="I1426" s="58"/>
    </x:row>
    <x:row r="1427">
      <x:c r="I1427" s="58"/>
    </x:row>
    <x:row r="1428">
      <x:c r="I1428" s="58"/>
    </x:row>
    <x:row r="1429">
      <x:c r="I1429" s="58"/>
    </x:row>
    <x:row r="1430">
      <x:c r="I1430" s="58"/>
    </x:row>
    <x:row r="1431">
      <x:c r="I1431" s="58"/>
    </x:row>
    <x:row r="1432">
      <x:c r="I1432" s="58"/>
    </x:row>
    <x:row r="1433">
      <x:c r="I1433" s="58"/>
    </x:row>
    <x:row r="1434">
      <x:c r="I1434" s="58"/>
    </x:row>
    <x:row r="1435">
      <x:c r="I1435" s="58"/>
    </x:row>
    <x:row r="1436">
      <x:c r="I1436" s="58"/>
    </x:row>
    <x:row r="1437">
      <x:c r="I1437" s="58"/>
    </x:row>
    <x:row r="1438">
      <x:c r="I1438" s="58"/>
    </x:row>
    <x:row r="1439">
      <x:c r="I1439" s="58"/>
    </x:row>
    <x:row r="1440">
      <x:c r="I1440" s="58"/>
    </x:row>
    <x:row r="1441">
      <x:c r="I1441" s="58"/>
    </x:row>
    <x:row r="1442">
      <x:c r="I1442" s="58"/>
    </x:row>
    <x:row r="1443">
      <x:c r="I1443" s="58"/>
    </x:row>
    <x:row r="1444">
      <x:c r="I1444" s="58"/>
    </x:row>
    <x:row r="1445">
      <x:c r="I1445" s="58"/>
    </x:row>
    <x:row r="1446">
      <x:c r="I1446" s="58"/>
    </x:row>
    <x:row r="1447">
      <x:c r="I1447" s="58"/>
    </x:row>
    <x:row r="1448">
      <x:c r="I1448" s="58"/>
    </x:row>
    <x:row r="1449">
      <x:c r="I1449" s="58"/>
    </x:row>
    <x:row r="1450">
      <x:c r="I1450" s="58"/>
    </x:row>
    <x:row r="1451">
      <x:c r="I1451" s="58"/>
    </x:row>
    <x:row r="1452">
      <x:c r="I1452" s="58"/>
    </x:row>
    <x:row r="1453">
      <x:c r="I1453" s="58"/>
    </x:row>
    <x:row r="1454">
      <x:c r="I1454" s="58"/>
    </x:row>
    <x:row r="1455">
      <x:c r="I1455" s="58"/>
    </x:row>
    <x:row r="1456">
      <x:c r="I1456" s="58"/>
    </x:row>
    <x:row r="1457">
      <x:c r="I1457" s="58"/>
    </x:row>
    <x:row r="1458">
      <x:c r="I1458" s="58"/>
    </x:row>
    <x:row r="1459">
      <x:c r="I1459" s="58"/>
    </x:row>
    <x:row r="1460">
      <x:c r="I1460" s="58"/>
    </x:row>
    <x:row r="1461">
      <x:c r="I1461" s="58"/>
    </x:row>
    <x:row r="1462">
      <x:c r="I1462" s="58"/>
    </x:row>
    <x:row r="1463">
      <x:c r="I1463" s="58"/>
    </x:row>
    <x:row r="1464">
      <x:c r="I1464" s="58"/>
    </x:row>
    <x:row r="1465">
      <x:c r="I1465" s="58"/>
    </x:row>
    <x:row r="1466">
      <x:c r="I1466" s="58"/>
    </x:row>
    <x:row r="1467">
      <x:c r="I1467" s="58"/>
    </x:row>
    <x:row r="1468">
      <x:c r="I1468" s="58"/>
    </x:row>
    <x:row r="1469">
      <x:c r="I1469" s="58"/>
    </x:row>
    <x:row r="1470">
      <x:c r="I1470" s="58"/>
    </x:row>
    <x:row r="1471">
      <x:c r="I1471" s="58"/>
    </x:row>
    <x:row r="1472">
      <x:c r="I1472" s="58"/>
    </x:row>
    <x:row r="1473">
      <x:c r="I1473" s="58"/>
    </x:row>
    <x:row r="1474">
      <x:c r="I1474" s="58"/>
    </x:row>
    <x:row r="1475">
      <x:c r="I1475" s="58"/>
    </x:row>
    <x:row r="1476">
      <x:c r="I1476" s="58"/>
    </x:row>
    <x:row r="1477">
      <x:c r="I1477" s="58"/>
    </x:row>
    <x:row r="1478">
      <x:c r="I1478" s="58"/>
    </x:row>
    <x:row r="1479">
      <x:c r="I1479" s="58"/>
    </x:row>
    <x:row r="1480">
      <x:c r="I1480" s="58"/>
    </x:row>
    <x:row r="1481">
      <x:c r="I1481" s="58"/>
    </x:row>
    <x:row r="1482">
      <x:c r="I1482" s="58"/>
    </x:row>
    <x:row r="1483">
      <x:c r="I1483" s="58"/>
    </x:row>
    <x:row r="1484">
      <x:c r="I1484" s="58"/>
    </x:row>
    <x:row r="1485">
      <x:c r="I1485" s="58"/>
    </x:row>
    <x:row r="1486">
      <x:c r="I1486" s="58"/>
    </x:row>
    <x:row r="1487">
      <x:c r="I1487" s="58"/>
    </x:row>
    <x:row r="1488">
      <x:c r="I1488" s="58"/>
    </x:row>
    <x:row r="1489">
      <x:c r="I1489" s="58"/>
    </x:row>
    <x:row r="1490">
      <x:c r="I1490" s="58"/>
    </x:row>
    <x:row r="1491">
      <x:c r="I1491" s="58"/>
    </x:row>
    <x:row r="1492">
      <x:c r="I1492" s="58"/>
    </x:row>
    <x:row r="1493">
      <x:c r="I1493" s="58"/>
    </x:row>
    <x:row r="1494">
      <x:c r="I1494" s="58"/>
    </x:row>
    <x:row r="1495">
      <x:c r="I1495" s="58"/>
    </x:row>
    <x:row r="1496">
      <x:c r="I1496" s="58"/>
    </x:row>
    <x:row r="1497">
      <x:c r="I1497" s="58"/>
    </x:row>
    <x:row r="1498">
      <x:c r="I1498" s="58"/>
    </x:row>
    <x:row r="1499">
      <x:c r="I1499" s="58"/>
    </x:row>
    <x:row r="1500">
      <x:c r="I1500" s="58"/>
    </x:row>
    <x:row r="1501">
      <x:c r="I1501" s="58"/>
    </x:row>
    <x:row r="1502">
      <x:c r="I1502" s="58"/>
    </x:row>
    <x:row r="1503">
      <x:c r="I1503" s="58"/>
    </x:row>
    <x:row r="1504">
      <x:c r="I1504" s="58"/>
    </x:row>
    <x:row r="1505">
      <x:c r="I1505" s="58"/>
    </x:row>
    <x:row r="1506">
      <x:c r="I1506" s="58"/>
    </x:row>
    <x:row r="1507">
      <x:c r="I1507" s="58"/>
    </x:row>
    <x:row r="1508">
      <x:c r="I1508" s="58"/>
    </x:row>
    <x:row r="1509">
      <x:c r="I1509" s="58"/>
    </x:row>
    <x:row r="1510">
      <x:c r="I1510" s="58"/>
    </x:row>
    <x:row r="1511">
      <x:c r="I1511" s="58"/>
    </x:row>
    <x:row r="1512">
      <x:c r="I1512" s="58"/>
    </x:row>
    <x:row r="1513">
      <x:c r="I1513" s="58"/>
    </x:row>
    <x:row r="1514">
      <x:c r="I1514" s="58"/>
    </x:row>
    <x:row r="1515">
      <x:c r="I1515" s="58"/>
    </x:row>
    <x:row r="1516">
      <x:c r="I1516" s="58"/>
    </x:row>
    <x:row r="1517">
      <x:c r="I1517" s="58"/>
    </x:row>
    <x:row r="1518">
      <x:c r="I1518" s="58"/>
    </x:row>
    <x:row r="1519">
      <x:c r="I1519" s="58"/>
    </x:row>
    <x:row r="1520">
      <x:c r="I1520" s="58"/>
    </x:row>
    <x:row r="1521">
      <x:c r="I1521" s="58"/>
    </x:row>
    <x:row r="1522">
      <x:c r="I1522" s="58"/>
    </x:row>
    <x:row r="1523">
      <x:c r="I1523" s="58"/>
    </x:row>
    <x:row r="1524">
      <x:c r="I1524" s="58"/>
    </x:row>
    <x:row r="1525">
      <x:c r="I1525" s="58"/>
    </x:row>
    <x:row r="1526">
      <x:c r="I1526" s="58"/>
    </x:row>
    <x:row r="1527">
      <x:c r="I1527" s="58"/>
    </x:row>
    <x:row r="1528">
      <x:c r="I1528" s="58"/>
    </x:row>
    <x:row r="1529">
      <x:c r="I1529" s="58"/>
    </x:row>
    <x:row r="1530">
      <x:c r="I1530" s="58"/>
    </x:row>
    <x:row r="1531">
      <x:c r="I1531" s="58"/>
    </x:row>
    <x:row r="1532">
      <x:c r="I1532" s="58"/>
    </x:row>
    <x:row r="1533">
      <x:c r="I1533" s="58"/>
    </x:row>
    <x:row r="1534">
      <x:c r="I1534" s="58"/>
    </x:row>
    <x:row r="1535">
      <x:c r="I1535" s="58"/>
    </x:row>
    <x:row r="1536">
      <x:c r="I1536" s="58"/>
    </x:row>
    <x:row r="1537">
      <x:c r="I1537" s="58"/>
    </x:row>
    <x:row r="1538">
      <x:c r="I1538" s="58"/>
    </x:row>
    <x:row r="1539">
      <x:c r="I1539" s="58"/>
    </x:row>
    <x:row r="1540">
      <x:c r="I1540" s="58"/>
    </x:row>
    <x:row r="1541">
      <x:c r="I1541" s="58"/>
    </x:row>
    <x:row r="1542">
      <x:c r="I1542" s="58"/>
    </x:row>
    <x:row r="1543">
      <x:c r="I1543" s="58"/>
    </x:row>
    <x:row r="1544">
      <x:c r="I1544" s="58"/>
    </x:row>
    <x:row r="1545">
      <x:c r="I1545" s="58"/>
    </x:row>
    <x:row r="1546">
      <x:c r="I1546" s="58"/>
    </x:row>
    <x:row r="1547">
      <x:c r="I1547" s="58"/>
    </x:row>
    <x:row r="1548">
      <x:c r="I1548" s="58"/>
    </x:row>
    <x:row r="1549">
      <x:c r="I1549" s="58"/>
    </x:row>
    <x:row r="1550">
      <x:c r="I1550" s="58"/>
    </x:row>
    <x:row r="1551">
      <x:c r="I1551" s="58"/>
    </x:row>
    <x:row r="1552">
      <x:c r="I1552" s="58"/>
    </x:row>
    <x:row r="1553">
      <x:c r="I1553" s="58"/>
    </x:row>
    <x:row r="1554">
      <x:c r="I1554" s="58"/>
    </x:row>
    <x:row r="1555">
      <x:c r="I1555" s="58"/>
    </x:row>
    <x:row r="1556">
      <x:c r="I1556" s="58"/>
    </x:row>
    <x:row r="1557">
      <x:c r="I1557" s="58"/>
    </x:row>
    <x:row r="1558">
      <x:c r="I1558" s="58"/>
    </x:row>
    <x:row r="1559">
      <x:c r="I1559" s="58"/>
    </x:row>
    <x:row r="1560">
      <x:c r="I1560" s="58"/>
    </x:row>
    <x:row r="1561">
      <x:c r="I1561" s="58"/>
    </x:row>
    <x:row r="1562">
      <x:c r="I1562" s="58"/>
    </x:row>
    <x:row r="1563">
      <x:c r="I1563" s="58"/>
    </x:row>
    <x:row r="1564">
      <x:c r="I1564" s="58"/>
    </x:row>
    <x:row r="1565">
      <x:c r="I1565" s="58"/>
    </x:row>
    <x:row r="1566">
      <x:c r="I1566" s="58"/>
    </x:row>
    <x:row r="1567">
      <x:c r="I1567" s="58"/>
    </x:row>
    <x:row r="1568">
      <x:c r="I1568" s="58"/>
    </x:row>
    <x:row r="1569">
      <x:c r="I1569" s="58"/>
    </x:row>
    <x:row r="1570">
      <x:c r="I1570" s="58"/>
    </x:row>
    <x:row r="1571">
      <x:c r="I1571" s="58"/>
    </x:row>
    <x:row r="1572">
      <x:c r="I1572" s="58"/>
    </x:row>
    <x:row r="1573">
      <x:c r="I1573" s="58"/>
    </x:row>
    <x:row r="1574">
      <x:c r="I1574" s="58"/>
    </x:row>
    <x:row r="1575">
      <x:c r="I1575" s="58"/>
    </x:row>
    <x:row r="1576">
      <x:c r="I1576" s="58"/>
    </x:row>
    <x:row r="1577">
      <x:c r="I1577" s="58"/>
    </x:row>
    <x:row r="1578">
      <x:c r="I1578" s="58"/>
    </x:row>
    <x:row r="1579">
      <x:c r="I1579" s="58"/>
    </x:row>
    <x:row r="1580">
      <x:c r="I1580" s="58"/>
    </x:row>
    <x:row r="1581">
      <x:c r="I1581" s="58"/>
    </x:row>
    <x:row r="1582">
      <x:c r="I1582" s="58"/>
    </x:row>
    <x:row r="1583">
      <x:c r="I1583" s="58"/>
    </x:row>
    <x:row r="1584">
      <x:c r="I1584" s="58"/>
    </x:row>
    <x:row r="1585">
      <x:c r="I1585" s="58"/>
    </x:row>
    <x:row r="1586">
      <x:c r="I1586" s="58"/>
    </x:row>
    <x:row r="1587">
      <x:c r="I1587" s="58"/>
    </x:row>
    <x:row r="1588">
      <x:c r="I1588" s="58"/>
    </x:row>
    <x:row r="1589">
      <x:c r="I1589" s="58"/>
    </x:row>
    <x:row r="1590">
      <x:c r="I1590" s="58"/>
    </x:row>
    <x:row r="1591">
      <x:c r="I1591" s="58"/>
    </x:row>
    <x:row r="1592">
      <x:c r="I1592" s="58"/>
    </x:row>
    <x:row r="1593">
      <x:c r="I1593" s="58"/>
    </x:row>
    <x:row r="1594">
      <x:c r="I1594" s="58"/>
    </x:row>
    <x:row r="1595">
      <x:c r="I1595" s="58"/>
    </x:row>
    <x:row r="1596">
      <x:c r="I1596" s="58"/>
    </x:row>
    <x:row r="1597">
      <x:c r="I1597" s="58"/>
    </x:row>
    <x:row r="1598">
      <x:c r="I1598" s="58"/>
    </x:row>
    <x:row r="1599">
      <x:c r="I1599" s="58"/>
    </x:row>
    <x:row r="1600">
      <x:c r="I1600" s="58"/>
    </x:row>
    <x:row r="1601">
      <x:c r="I1601" s="58"/>
    </x:row>
    <x:row r="1602">
      <x:c r="I1602" s="58"/>
    </x:row>
    <x:row r="1603">
      <x:c r="I1603" s="58"/>
    </x:row>
    <x:row r="1604">
      <x:c r="I1604" s="58"/>
    </x:row>
    <x:row r="1605">
      <x:c r="I1605" s="58"/>
    </x:row>
    <x:row r="1606">
      <x:c r="I1606" s="58"/>
    </x:row>
    <x:row r="1607">
      <x:c r="I1607" s="58"/>
    </x:row>
    <x:row r="1608">
      <x:c r="I1608" s="58"/>
    </x:row>
    <x:row r="1609">
      <x:c r="I1609" s="58"/>
    </x:row>
    <x:row r="1610">
      <x:c r="I1610" s="58"/>
    </x:row>
    <x:row r="1611">
      <x:c r="I1611" s="58"/>
    </x:row>
    <x:row r="1612">
      <x:c r="I1612" s="58"/>
    </x:row>
    <x:row r="1613">
      <x:c r="I1613" s="58"/>
    </x:row>
    <x:row r="1614">
      <x:c r="I1614" s="58"/>
    </x:row>
    <x:row r="1615">
      <x:c r="I1615" s="58"/>
    </x:row>
    <x:row r="1616">
      <x:c r="I1616" s="58"/>
    </x:row>
    <x:row r="1617">
      <x:c r="I1617" s="58"/>
    </x:row>
    <x:row r="1618">
      <x:c r="I1618" s="58"/>
    </x:row>
    <x:row r="1619">
      <x:c r="I1619" s="58"/>
    </x:row>
    <x:row r="1620">
      <x:c r="I1620" s="58"/>
    </x:row>
    <x:row r="1621">
      <x:c r="I1621" s="58"/>
    </x:row>
    <x:row r="1622">
      <x:c r="I1622" s="58"/>
    </x:row>
    <x:row r="1623">
      <x:c r="I1623" s="58"/>
    </x:row>
    <x:row r="1624">
      <x:c r="I1624" s="58"/>
    </x:row>
    <x:row r="1625">
      <x:c r="I1625" s="58"/>
    </x:row>
    <x:row r="1626">
      <x:c r="I1626" s="58"/>
    </x:row>
    <x:row r="1627">
      <x:c r="I1627" s="58"/>
    </x:row>
    <x:row r="1628">
      <x:c r="I1628" s="58"/>
    </x:row>
    <x:row r="1629">
      <x:c r="I1629" s="58"/>
    </x:row>
    <x:row r="1630">
      <x:c r="I1630" s="58"/>
    </x:row>
    <x:row r="1631">
      <x:c r="I1631" s="58"/>
    </x:row>
    <x:row r="1632">
      <x:c r="I1632" s="58"/>
    </x:row>
    <x:row r="1633">
      <x:c r="I1633" s="58"/>
    </x:row>
    <x:row r="1634">
      <x:c r="I1634" s="58"/>
    </x:row>
    <x:row r="1635">
      <x:c r="I1635" s="58"/>
    </x:row>
    <x:row r="1636">
      <x:c r="I1636" s="58"/>
    </x:row>
    <x:row r="1637">
      <x:c r="I1637" s="58"/>
    </x:row>
    <x:row r="1638">
      <x:c r="I1638" s="58"/>
    </x:row>
    <x:row r="1639">
      <x:c r="I1639" s="58"/>
    </x:row>
    <x:row r="1640">
      <x:c r="I1640" s="58"/>
    </x:row>
    <x:row r="1641">
      <x:c r="I1641" s="58"/>
    </x:row>
    <x:row r="1642">
      <x:c r="I1642" s="58"/>
    </x:row>
    <x:row r="1643">
      <x:c r="I1643" s="58"/>
    </x:row>
    <x:row r="1644">
      <x:c r="I1644" s="58"/>
    </x:row>
    <x:row r="1645">
      <x:c r="I1645" s="58"/>
    </x:row>
    <x:row r="1646">
      <x:c r="I1646" s="58"/>
    </x:row>
    <x:row r="1647">
      <x:c r="I1647" s="58"/>
    </x:row>
    <x:row r="1648">
      <x:c r="I1648" s="58"/>
    </x:row>
    <x:row r="1649">
      <x:c r="I1649" s="58"/>
    </x:row>
    <x:row r="1650">
      <x:c r="I1650" s="58"/>
    </x:row>
    <x:row r="1651">
      <x:c r="I1651" s="58"/>
    </x:row>
    <x:row r="1652">
      <x:c r="I1652" s="58"/>
    </x:row>
    <x:row r="1653">
      <x:c r="I1653" s="58"/>
    </x:row>
    <x:row r="1654">
      <x:c r="I1654" s="58"/>
    </x:row>
    <x:row r="1655">
      <x:c r="I1655" s="58"/>
    </x:row>
    <x:row r="1656">
      <x:c r="I1656" s="58"/>
    </x:row>
    <x:row r="1657">
      <x:c r="I1657" s="58"/>
    </x:row>
    <x:row r="1658">
      <x:c r="I1658" s="58"/>
    </x:row>
    <x:row r="1659">
      <x:c r="I1659" s="58"/>
    </x:row>
    <x:row r="1660">
      <x:c r="I1660" s="58"/>
    </x:row>
    <x:row r="1661">
      <x:c r="I1661" s="58"/>
    </x:row>
    <x:row r="1662">
      <x:c r="I1662" s="58"/>
    </x:row>
    <x:row r="1663">
      <x:c r="I1663" s="58"/>
    </x:row>
    <x:row r="1664">
      <x:c r="I1664" s="58"/>
    </x:row>
    <x:row r="1665">
      <x:c r="I1665" s="58"/>
    </x:row>
    <x:row r="1666">
      <x:c r="I1666" s="58"/>
    </x:row>
    <x:row r="1667">
      <x:c r="I1667" s="58"/>
    </x:row>
    <x:row r="1668">
      <x:c r="I1668" s="58"/>
    </x:row>
    <x:row r="1669">
      <x:c r="I1669" s="58"/>
    </x:row>
    <x:row r="1670">
      <x:c r="I1670" s="58"/>
    </x:row>
    <x:row r="1671">
      <x:c r="I1671" s="58"/>
    </x:row>
    <x:row r="1672">
      <x:c r="I1672" s="58"/>
    </x:row>
    <x:row r="1673">
      <x:c r="I1673" s="58"/>
    </x:row>
    <x:row r="1674">
      <x:c r="I1674" s="58"/>
    </x:row>
    <x:row r="1675">
      <x:c r="I1675" s="58"/>
    </x:row>
    <x:row r="1676">
      <x:c r="I1676" s="58"/>
    </x:row>
    <x:row r="1677">
      <x:c r="I1677" s="58"/>
    </x:row>
    <x:row r="1678">
      <x:c r="I1678" s="58"/>
    </x:row>
    <x:row r="1679">
      <x:c r="I1679" s="58"/>
    </x:row>
    <x:row r="1680">
      <x:c r="I1680" s="58"/>
    </x:row>
    <x:row r="1681">
      <x:c r="I1681" s="58"/>
    </x:row>
    <x:row r="1682">
      <x:c r="I1682" s="58"/>
    </x:row>
    <x:row r="1683">
      <x:c r="I1683" s="58"/>
    </x:row>
    <x:row r="1684">
      <x:c r="I1684" s="58"/>
    </x:row>
    <x:row r="1685">
      <x:c r="I1685" s="58"/>
    </x:row>
    <x:row r="1686">
      <x:c r="I1686" s="58"/>
    </x:row>
    <x:row r="1687">
      <x:c r="I1687" s="58"/>
    </x:row>
    <x:row r="1688">
      <x:c r="I1688" s="58"/>
    </x:row>
    <x:row r="1689">
      <x:c r="I1689" s="58"/>
    </x:row>
    <x:row r="1690">
      <x:c r="I1690" s="58"/>
    </x:row>
    <x:row r="1691">
      <x:c r="I1691" s="58"/>
    </x:row>
    <x:row r="1692">
      <x:c r="I1692" s="58"/>
    </x:row>
    <x:row r="1693">
      <x:c r="I1693" s="58"/>
    </x:row>
    <x:row r="1694">
      <x:c r="I1694" s="58"/>
    </x:row>
    <x:row r="1695">
      <x:c r="I1695" s="58"/>
    </x:row>
    <x:row r="1696">
      <x:c r="I1696" s="58"/>
    </x:row>
    <x:row r="1697">
      <x:c r="I1697" s="58"/>
    </x:row>
    <x:row r="1698">
      <x:c r="I1698" s="58"/>
    </x:row>
    <x:row r="1699">
      <x:c r="I1699" s="58"/>
    </x:row>
    <x:row r="1700">
      <x:c r="I1700" s="58"/>
    </x:row>
    <x:row r="1701">
      <x:c r="I1701" s="58"/>
    </x:row>
    <x:row r="1702">
      <x:c r="I1702" s="58"/>
    </x:row>
    <x:row r="1703">
      <x:c r="I1703" s="58"/>
    </x:row>
    <x:row r="1704">
      <x:c r="I1704" s="58"/>
    </x:row>
    <x:row r="1705">
      <x:c r="I1705" s="58"/>
    </x:row>
    <x:row r="1706">
      <x:c r="I1706" s="58"/>
    </x:row>
    <x:row r="1707">
      <x:c r="I1707" s="58"/>
    </x:row>
    <x:row r="1708">
      <x:c r="I1708" s="58"/>
    </x:row>
    <x:row r="1709">
      <x:c r="I1709" s="58"/>
    </x:row>
    <x:row r="1710">
      <x:c r="I1710" s="58"/>
    </x:row>
    <x:row r="1711">
      <x:c r="I1711" s="58"/>
    </x:row>
    <x:row r="1712">
      <x:c r="I1712" s="58"/>
    </x:row>
    <x:row r="1713">
      <x:c r="I1713" s="58"/>
    </x:row>
    <x:row r="1714">
      <x:c r="I1714" s="58"/>
    </x:row>
    <x:row r="1715">
      <x:c r="I1715" s="58"/>
    </x:row>
    <x:row r="1716">
      <x:c r="I1716" s="58"/>
    </x:row>
    <x:row r="1717">
      <x:c r="I1717" s="58"/>
    </x:row>
    <x:row r="1718">
      <x:c r="I1718" s="58"/>
    </x:row>
    <x:row r="1719">
      <x:c r="I1719" s="58"/>
    </x:row>
    <x:row r="1720">
      <x:c r="I1720" s="58"/>
    </x:row>
    <x:row r="1721">
      <x:c r="I1721" s="58"/>
    </x:row>
    <x:row r="1722">
      <x:c r="I1722" s="58"/>
    </x:row>
    <x:row r="1723">
      <x:c r="I1723" s="58"/>
    </x:row>
    <x:row r="1724">
      <x:c r="I1724" s="58"/>
    </x:row>
    <x:row r="1725">
      <x:c r="I1725" s="58"/>
    </x:row>
    <x:row r="1726">
      <x:c r="I1726" s="58"/>
    </x:row>
    <x:row r="1727">
      <x:c r="I1727" s="58"/>
    </x:row>
    <x:row r="1728">
      <x:c r="I1728" s="58"/>
    </x:row>
    <x:row r="1729">
      <x:c r="I1729" s="58"/>
    </x:row>
    <x:row r="1730">
      <x:c r="I1730" s="58"/>
    </x:row>
    <x:row r="1731">
      <x:c r="I1731" s="58"/>
    </x:row>
    <x:row r="1732">
      <x:c r="I1732" s="58"/>
    </x:row>
    <x:row r="1733">
      <x:c r="I1733" s="58"/>
    </x:row>
    <x:row r="1734">
      <x:c r="I1734" s="58"/>
    </x:row>
    <x:row r="1735">
      <x:c r="I1735" s="58"/>
    </x:row>
    <x:row r="1736">
      <x:c r="I1736" s="58"/>
    </x:row>
    <x:row r="1737">
      <x:c r="I1737" s="58"/>
    </x:row>
    <x:row r="1738">
      <x:c r="I1738" s="58"/>
    </x:row>
    <x:row r="1739">
      <x:c r="I1739" s="58"/>
    </x:row>
    <x:row r="1740">
      <x:c r="I1740" s="58"/>
    </x:row>
    <x:row r="1741">
      <x:c r="I1741" s="58"/>
    </x:row>
    <x:row r="1742">
      <x:c r="I1742" s="58"/>
    </x:row>
    <x:row r="1743">
      <x:c r="I1743" s="58"/>
    </x:row>
    <x:row r="1744">
      <x:c r="I1744" s="58"/>
    </x:row>
    <x:row r="1745">
      <x:c r="I1745" s="58"/>
    </x:row>
    <x:row r="1746">
      <x:c r="I1746" s="58"/>
    </x:row>
    <x:row r="1747">
      <x:c r="I1747" s="58"/>
    </x:row>
    <x:row r="1748">
      <x:c r="I1748" s="58"/>
    </x:row>
    <x:row r="1749">
      <x:c r="I1749" s="58"/>
    </x:row>
    <x:row r="1750">
      <x:c r="I1750" s="58"/>
    </x:row>
    <x:row r="1751">
      <x:c r="I1751" s="58"/>
    </x:row>
    <x:row r="1752">
      <x:c r="I1752" s="58"/>
    </x:row>
    <x:row r="1753">
      <x:c r="I1753" s="58"/>
    </x:row>
    <x:row r="1754">
      <x:c r="I1754" s="58"/>
    </x:row>
    <x:row r="1755">
      <x:c r="I1755" s="58"/>
    </x:row>
    <x:row r="1756">
      <x:c r="I1756" s="58"/>
    </x:row>
    <x:row r="1757">
      <x:c r="I1757" s="58"/>
    </x:row>
    <x:row r="1758">
      <x:c r="I1758" s="58"/>
    </x:row>
    <x:row r="1759">
      <x:c r="I1759" s="58"/>
    </x:row>
    <x:row r="1760">
      <x:c r="I1760" s="58"/>
    </x:row>
    <x:row r="1761">
      <x:c r="I1761" s="58"/>
    </x:row>
    <x:row r="1762">
      <x:c r="I1762" s="58"/>
    </x:row>
    <x:row r="1763">
      <x:c r="I1763" s="58"/>
    </x:row>
    <x:row r="1764">
      <x:c r="I1764" s="58"/>
    </x:row>
    <x:row r="1765">
      <x:c r="I1765" s="58"/>
    </x:row>
    <x:row r="1766">
      <x:c r="I1766" s="58"/>
    </x:row>
    <x:row r="1767">
      <x:c r="I1767" s="58"/>
    </x:row>
    <x:row r="1768">
      <x:c r="I1768" s="58"/>
    </x:row>
    <x:row r="1769">
      <x:c r="I1769" s="58"/>
    </x:row>
    <x:row r="1770">
      <x:c r="I1770" s="58"/>
    </x:row>
    <x:row r="1771">
      <x:c r="I1771" s="58"/>
    </x:row>
    <x:row r="1772">
      <x:c r="I1772" s="58"/>
    </x:row>
    <x:row r="1773">
      <x:c r="I1773" s="58"/>
    </x:row>
    <x:row r="1774">
      <x:c r="I1774" s="58"/>
    </x:row>
    <x:row r="1775">
      <x:c r="I1775" s="58"/>
    </x:row>
    <x:row r="1776">
      <x:c r="I1776" s="58"/>
    </x:row>
    <x:row r="1777">
      <x:c r="I1777" s="58"/>
    </x:row>
    <x:row r="1778">
      <x:c r="I1778" s="58"/>
    </x:row>
    <x:row r="1779">
      <x:c r="I1779" s="58"/>
    </x:row>
    <x:row r="1780">
      <x:c r="I1780" s="58"/>
    </x:row>
    <x:row r="1781">
      <x:c r="I1781" s="58"/>
    </x:row>
    <x:row r="1782">
      <x:c r="I1782" s="58"/>
    </x:row>
    <x:row r="1783">
      <x:c r="I1783" s="58"/>
    </x:row>
    <x:row r="1784">
      <x:c r="I1784" s="58"/>
    </x:row>
    <x:row r="1785">
      <x:c r="I1785" s="58"/>
    </x:row>
    <x:row r="1786">
      <x:c r="I1786" s="58"/>
    </x:row>
    <x:row r="1787">
      <x:c r="I1787" s="58"/>
    </x:row>
    <x:row r="1788">
      <x:c r="I1788" s="58"/>
    </x:row>
    <x:row r="1789">
      <x:c r="I1789" s="58"/>
    </x:row>
    <x:row r="1790">
      <x:c r="I1790" s="58"/>
    </x:row>
    <x:row r="1791">
      <x:c r="I1791" s="58"/>
    </x:row>
    <x:row r="1792">
      <x:c r="I1792" s="58"/>
    </x:row>
    <x:row r="1793">
      <x:c r="I1793" s="58"/>
    </x:row>
    <x:row r="1794">
      <x:c r="I1794" s="58"/>
    </x:row>
    <x:row r="1795">
      <x:c r="I1795" s="58"/>
    </x:row>
    <x:row r="1796">
      <x:c r="I1796" s="58"/>
    </x:row>
    <x:row r="1797">
      <x:c r="I1797" s="58"/>
    </x:row>
    <x:row r="1798">
      <x:c r="I1798" s="58"/>
    </x:row>
    <x:row r="1799">
      <x:c r="I1799" s="58"/>
    </x:row>
    <x:row r="1800">
      <x:c r="I1800" s="58"/>
    </x:row>
    <x:row r="1801">
      <x:c r="I1801" s="58"/>
    </x:row>
    <x:row r="1802">
      <x:c r="I1802" s="58"/>
    </x:row>
    <x:row r="1803">
      <x:c r="I1803" s="58"/>
    </x:row>
    <x:row r="1804">
      <x:c r="I1804" s="58"/>
    </x:row>
    <x:row r="1805">
      <x:c r="I1805" s="58"/>
    </x:row>
    <x:row r="1806">
      <x:c r="I1806" s="58"/>
    </x:row>
    <x:row r="1807">
      <x:c r="I1807" s="58"/>
    </x:row>
    <x:row r="1808">
      <x:c r="I1808" s="58"/>
    </x:row>
    <x:row r="1809">
      <x:c r="I1809" s="58"/>
    </x:row>
    <x:row r="1810">
      <x:c r="I1810" s="58"/>
    </x:row>
    <x:row r="1811">
      <x:c r="I1811" s="58"/>
    </x:row>
    <x:row r="1812">
      <x:c r="I1812" s="58"/>
    </x:row>
    <x:row r="1813">
      <x:c r="I1813" s="58"/>
    </x:row>
    <x:row r="1814">
      <x:c r="I1814" s="58"/>
    </x:row>
    <x:row r="1815">
      <x:c r="I1815" s="58"/>
    </x:row>
    <x:row r="1816">
      <x:c r="I1816" s="58"/>
    </x:row>
    <x:row r="1817">
      <x:c r="I1817" s="58"/>
    </x:row>
    <x:row r="1818">
      <x:c r="I1818" s="58"/>
    </x:row>
    <x:row r="1819">
      <x:c r="I1819" s="58"/>
    </x:row>
    <x:row r="1820">
      <x:c r="I1820" s="58"/>
    </x:row>
    <x:row r="1821">
      <x:c r="I1821" s="58"/>
    </x:row>
    <x:row r="1822">
      <x:c r="I1822" s="58"/>
    </x:row>
    <x:row r="1823">
      <x:c r="I1823" s="58"/>
    </x:row>
    <x:row r="1824">
      <x:c r="I1824" s="58"/>
    </x:row>
    <x:row r="1825">
      <x:c r="I1825" s="58"/>
    </x:row>
    <x:row r="1826">
      <x:c r="I1826" s="58"/>
    </x:row>
    <x:row r="1827">
      <x:c r="I1827" s="58"/>
    </x:row>
    <x:row r="1828">
      <x:c r="I1828" s="58"/>
    </x:row>
    <x:row r="1829">
      <x:c r="I1829" s="58"/>
    </x:row>
    <x:row r="1830">
      <x:c r="I1830" s="58"/>
    </x:row>
    <x:row r="1831">
      <x:c r="I1831" s="58"/>
    </x:row>
    <x:row r="1832">
      <x:c r="I1832" s="58"/>
    </x:row>
    <x:row r="1833">
      <x:c r="I1833" s="58"/>
    </x:row>
    <x:row r="1834">
      <x:c r="I1834" s="58"/>
    </x:row>
    <x:row r="1835">
      <x:c r="I1835" s="58"/>
    </x:row>
    <x:row r="1836">
      <x:c r="I1836" s="58"/>
    </x:row>
    <x:row r="1837">
      <x:c r="I1837" s="58"/>
    </x:row>
    <x:row r="1838">
      <x:c r="I1838" s="58"/>
    </x:row>
    <x:row r="1839">
      <x:c r="I1839" s="58"/>
    </x:row>
    <x:row r="1840">
      <x:c r="I1840" s="58"/>
    </x:row>
    <x:row r="1841">
      <x:c r="I1841" s="58"/>
    </x:row>
    <x:row r="1842">
      <x:c r="I1842" s="58"/>
    </x:row>
    <x:row r="1843">
      <x:c r="I1843" s="58"/>
    </x:row>
    <x:row r="1844">
      <x:c r="I1844" s="58"/>
    </x:row>
    <x:row r="1845">
      <x:c r="I1845" s="58"/>
    </x:row>
    <x:row r="1846">
      <x:c r="I1846" s="58"/>
    </x:row>
    <x:row r="1847">
      <x:c r="I1847" s="58"/>
    </x:row>
    <x:row r="1848">
      <x:c r="I1848" s="58"/>
    </x:row>
    <x:row r="1849">
      <x:c r="I1849" s="58"/>
    </x:row>
    <x:row r="1850">
      <x:c r="I1850" s="58"/>
    </x:row>
    <x:row r="1851">
      <x:c r="I1851" s="58"/>
    </x:row>
    <x:row r="1852">
      <x:c r="I1852" s="58"/>
    </x:row>
    <x:row r="1853">
      <x:c r="I1853" s="58"/>
    </x:row>
    <x:row r="1854">
      <x:c r="I1854" s="58"/>
    </x:row>
    <x:row r="1855">
      <x:c r="I1855" s="58"/>
    </x:row>
    <x:row r="1856">
      <x:c r="I1856" s="58"/>
    </x:row>
    <x:row r="1857">
      <x:c r="I1857" s="58"/>
    </x:row>
    <x:row r="1858">
      <x:c r="I1858" s="58"/>
    </x:row>
    <x:row r="1859">
      <x:c r="I1859" s="58"/>
    </x:row>
    <x:row r="1860">
      <x:c r="I1860" s="58"/>
    </x:row>
    <x:row r="1861">
      <x:c r="I1861" s="58"/>
    </x:row>
    <x:row r="1862">
      <x:c r="I1862" s="58"/>
    </x:row>
    <x:row r="1863">
      <x:c r="I1863" s="58"/>
    </x:row>
    <x:row r="1864">
      <x:c r="I1864" s="58"/>
    </x:row>
    <x:row r="1865">
      <x:c r="I1865" s="58"/>
    </x:row>
    <x:row r="1866">
      <x:c r="I1866" s="58"/>
    </x:row>
    <x:row r="1867">
      <x:c r="I1867" s="58"/>
    </x:row>
    <x:row r="1868">
      <x:c r="I1868" s="58"/>
    </x:row>
    <x:row r="1869">
      <x:c r="I1869" s="58"/>
    </x:row>
    <x:row r="1870">
      <x:c r="I1870" s="58"/>
    </x:row>
    <x:row r="1871">
      <x:c r="I1871" s="58"/>
    </x:row>
    <x:row r="1872">
      <x:c r="I1872" s="58"/>
    </x:row>
    <x:row r="1873">
      <x:c r="I1873" s="58"/>
    </x:row>
    <x:row r="1874">
      <x:c r="I1874" s="58"/>
    </x:row>
    <x:row r="1875">
      <x:c r="I1875" s="58"/>
    </x:row>
    <x:row r="1876">
      <x:c r="I1876" s="58"/>
    </x:row>
    <x:row r="1877">
      <x:c r="I1877" s="58"/>
    </x:row>
    <x:row r="1878">
      <x:c r="I1878" s="58"/>
    </x:row>
    <x:row r="1879">
      <x:c r="I1879" s="58"/>
    </x:row>
    <x:row r="1880">
      <x:c r="I1880" s="58"/>
    </x:row>
    <x:row r="1881">
      <x:c r="I1881" s="58"/>
    </x:row>
    <x:row r="1882">
      <x:c r="I1882" s="58"/>
    </x:row>
    <x:row r="1883">
      <x:c r="I1883" s="58"/>
    </x:row>
    <x:row r="1884">
      <x:c r="I1884" s="58"/>
    </x:row>
    <x:row r="1885">
      <x:c r="I1885" s="58"/>
    </x:row>
    <x:row r="1886">
      <x:c r="I1886" s="58"/>
    </x:row>
    <x:row r="1887">
      <x:c r="I1887" s="58"/>
    </x:row>
    <x:row r="1888">
      <x:c r="I1888" s="58"/>
    </x:row>
    <x:row r="1889">
      <x:c r="I1889" s="58"/>
    </x:row>
    <x:row r="1890">
      <x:c r="I1890" s="58"/>
    </x:row>
    <x:row r="1891">
      <x:c r="I1891" s="58"/>
    </x:row>
    <x:row r="1892">
      <x:c r="I1892" s="58"/>
    </x:row>
    <x:row r="1893">
      <x:c r="I1893" s="58"/>
    </x:row>
    <x:row r="1894">
      <x:c r="I1894" s="58"/>
    </x:row>
    <x:row r="1895">
      <x:c r="I1895" s="58"/>
    </x:row>
    <x:row r="1896">
      <x:c r="I1896" s="58"/>
    </x:row>
    <x:row r="1897">
      <x:c r="I1897" s="58"/>
    </x:row>
    <x:row r="1898">
      <x:c r="I1898" s="58"/>
    </x:row>
    <x:row r="1899">
      <x:c r="I1899" s="58"/>
    </x:row>
    <x:row r="1900">
      <x:c r="I1900" s="58"/>
    </x:row>
    <x:row r="1901">
      <x:c r="I1901" s="58"/>
    </x:row>
    <x:row r="1902">
      <x:c r="I1902" s="58"/>
    </x:row>
    <x:row r="1903">
      <x:c r="I1903" s="58"/>
    </x:row>
    <x:row r="1904">
      <x:c r="I1904" s="58"/>
    </x:row>
    <x:row r="1905">
      <x:c r="I1905" s="58"/>
    </x:row>
    <x:row r="1906">
      <x:c r="I1906" s="58"/>
    </x:row>
    <x:row r="1907">
      <x:c r="I1907" s="58"/>
    </x:row>
    <x:row r="1908">
      <x:c r="I1908" s="58"/>
    </x:row>
    <x:row r="1909">
      <x:c r="I1909" s="58"/>
    </x:row>
    <x:row r="1910">
      <x:c r="I1910" s="58"/>
    </x:row>
    <x:row r="1911">
      <x:c r="I1911" s="58"/>
    </x:row>
    <x:row r="1912">
      <x:c r="I1912" s="58"/>
    </x:row>
    <x:row r="1913">
      <x:c r="I1913" s="58"/>
    </x:row>
    <x:row r="1914">
      <x:c r="I1914" s="58"/>
    </x:row>
    <x:row r="1915">
      <x:c r="I1915" s="58"/>
    </x:row>
    <x:row r="1916">
      <x:c r="I1916" s="58"/>
    </x:row>
    <x:row r="1917">
      <x:c r="I1917" s="58"/>
    </x:row>
    <x:row r="1918">
      <x:c r="I1918" s="58"/>
    </x:row>
    <x:row r="1919">
      <x:c r="I1919" s="58"/>
    </x:row>
    <x:row r="1920">
      <x:c r="I1920" s="58"/>
    </x:row>
    <x:row r="1921">
      <x:c r="I1921" s="58"/>
    </x:row>
    <x:row r="1922">
      <x:c r="I1922" s="58"/>
    </x:row>
    <x:row r="1923">
      <x:c r="I1923" s="58"/>
    </x:row>
    <x:row r="1924">
      <x:c r="I1924" s="58"/>
    </x:row>
    <x:row r="1925">
      <x:c r="I1925" s="58"/>
    </x:row>
    <x:row r="1926">
      <x:c r="I1926" s="58"/>
    </x:row>
    <x:row r="1927">
      <x:c r="I1927" s="58"/>
    </x:row>
    <x:row r="1928">
      <x:c r="I1928" s="58"/>
    </x:row>
    <x:row r="1929">
      <x:c r="I1929" s="58"/>
    </x:row>
    <x:row r="1930">
      <x:c r="I1930" s="58"/>
    </x:row>
    <x:row r="1931">
      <x:c r="I1931" s="58"/>
    </x:row>
    <x:row r="1932">
      <x:c r="I1932" s="58"/>
    </x:row>
    <x:row r="1933">
      <x:c r="I1933" s="58"/>
    </x:row>
    <x:row r="1934">
      <x:c r="I1934" s="58"/>
    </x:row>
    <x:row r="1935">
      <x:c r="I1935" s="58"/>
    </x:row>
    <x:row r="1936">
      <x:c r="I1936" s="58"/>
    </x:row>
    <x:row r="1937">
      <x:c r="I1937" s="58"/>
    </x:row>
    <x:row r="1938">
      <x:c r="I1938" s="58"/>
    </x:row>
    <x:row r="1939">
      <x:c r="I1939" s="58"/>
    </x:row>
    <x:row r="1940">
      <x:c r="I1940" s="58"/>
    </x:row>
    <x:row r="1941">
      <x:c r="I1941" s="58"/>
    </x:row>
    <x:row r="1942">
      <x:c r="I1942" s="58"/>
    </x:row>
    <x:row r="1943">
      <x:c r="I1943" s="58"/>
    </x:row>
    <x:row r="1944">
      <x:c r="I1944" s="58"/>
    </x:row>
    <x:row r="1945">
      <x:c r="I1945" s="58"/>
    </x:row>
    <x:row r="1946">
      <x:c r="I1946" s="58"/>
    </x:row>
    <x:row r="1947">
      <x:c r="I1947" s="58"/>
    </x:row>
    <x:row r="1948">
      <x:c r="I1948" s="58"/>
    </x:row>
    <x:row r="1949">
      <x:c r="I1949" s="58"/>
    </x:row>
    <x:row r="1950">
      <x:c r="I1950" s="58"/>
    </x:row>
    <x:row r="1951">
      <x:c r="I1951" s="58"/>
    </x:row>
    <x:row r="1952">
      <x:c r="I1952" s="58"/>
    </x:row>
    <x:row r="1953">
      <x:c r="I1953" s="58"/>
    </x:row>
    <x:row r="1954">
      <x:c r="I1954" s="58"/>
    </x:row>
    <x:row r="1955">
      <x:c r="I1955" s="58"/>
    </x:row>
    <x:row r="1956">
      <x:c r="I1956" s="58"/>
    </x:row>
    <x:row r="1957">
      <x:c r="I1957" s="58"/>
    </x:row>
    <x:row r="1958">
      <x:c r="I1958" s="58"/>
    </x:row>
    <x:row r="1959">
      <x:c r="I1959" s="58"/>
    </x:row>
    <x:row r="1960">
      <x:c r="I1960" s="58"/>
    </x:row>
    <x:row r="1961">
      <x:c r="I1961" s="58"/>
    </x:row>
    <x:row r="1962">
      <x:c r="I1962" s="58"/>
    </x:row>
    <x:row r="1963">
      <x:c r="I1963" s="58"/>
    </x:row>
    <x:row r="1964">
      <x:c r="I1964" s="58"/>
    </x:row>
    <x:row r="1965">
      <x:c r="I1965" s="58"/>
    </x:row>
    <x:row r="1966">
      <x:c r="I1966" s="58"/>
    </x:row>
    <x:row r="1967">
      <x:c r="I1967" s="58"/>
    </x:row>
    <x:row r="1968">
      <x:c r="I1968" s="58"/>
    </x:row>
    <x:row r="1969">
      <x:c r="I1969" s="58"/>
    </x:row>
    <x:row r="1970">
      <x:c r="I1970" s="58"/>
    </x:row>
    <x:row r="1971">
      <x:c r="I1971" s="58"/>
    </x:row>
    <x:row r="1972">
      <x:c r="I1972" s="58"/>
    </x:row>
    <x:row r="1973">
      <x:c r="I1973" s="58"/>
    </x:row>
    <x:row r="1974">
      <x:c r="I1974" s="58"/>
    </x:row>
    <x:row r="1975">
      <x:c r="I1975" s="58"/>
    </x:row>
    <x:row r="1976">
      <x:c r="I1976" s="58"/>
    </x:row>
    <x:row r="1977">
      <x:c r="I1977" s="58"/>
    </x:row>
    <x:row r="1978">
      <x:c r="I1978" s="58"/>
    </x:row>
    <x:row r="1979">
      <x:c r="I1979" s="58"/>
    </x:row>
    <x:row r="1980">
      <x:c r="I1980" s="58"/>
    </x:row>
    <x:row r="1981">
      <x:c r="I1981" s="58"/>
    </x:row>
    <x:row r="1982">
      <x:c r="I1982" s="58"/>
    </x:row>
    <x:row r="1983">
      <x:c r="I1983" s="58"/>
    </x:row>
    <x:row r="1984">
      <x:c r="I1984" s="58"/>
    </x:row>
    <x:row r="1985">
      <x:c r="I1985" s="58"/>
    </x:row>
    <x:row r="1986">
      <x:c r="I1986" s="58"/>
    </x:row>
    <x:row r="1987">
      <x:c r="I1987" s="58"/>
    </x:row>
    <x:row r="1988">
      <x:c r="I1988" s="58"/>
    </x:row>
    <x:row r="1989">
      <x:c r="I1989" s="58"/>
    </x:row>
    <x:row r="1990">
      <x:c r="I1990" s="58"/>
    </x:row>
    <x:row r="1991">
      <x:c r="I1991" s="58"/>
    </x:row>
    <x:row r="1992">
      <x:c r="I1992" s="58"/>
    </x:row>
    <x:row r="1993">
      <x:c r="I1993" s="58"/>
    </x:row>
    <x:row r="1994">
      <x:c r="I1994" s="58"/>
    </x:row>
    <x:row r="1995">
      <x:c r="I1995" s="58"/>
    </x:row>
    <x:row r="1996">
      <x:c r="I1996" s="58"/>
    </x:row>
    <x:row r="1997">
      <x:c r="I1997" s="58"/>
    </x:row>
    <x:row r="1998">
      <x:c r="I1998" s="58"/>
    </x:row>
    <x:row r="1999">
      <x:c r="I1999" s="58"/>
    </x:row>
    <x:row r="2000">
      <x:c r="I2000" s="58"/>
    </x:row>
  </x:sheetData>
  <x:mergeCells>
    <x:mergeCell ref="A1:J1"/>
    <x:mergeCell ref="A2:J2"/>
  </x:mergeCells>
  <x:dataValidations count="1">
    <x:dataValidation type="list" sqref="C5:C2000">
      <x:formula1>LISTAS!$G$5:$G$11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f5ff1f2c0e423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14" hidden="0" customWidth="1"/>
    <x:col min="8" max="8" width="20" hidden="0" customWidth="1"/>
    <x:col min="9" max="9" width="34" hidden="0" customWidth="1"/>
    <x:col min="10" max="10" width="20" hidden="0" customWidth="1"/>
    <x:col min="11" max="11" width="24" hidden="0" customWidth="1"/>
    <x:col min="12" max="12" width="16" hidden="0" customWidth="1"/>
    <x:col min="13" max="13" width="34" hidden="0" customWidth="1"/>
    <x:col min="14" max="14" width="20" hidden="0" customWidth="1"/>
  </x:cols>
  <x:sheetData>
    <x:row r="1" ht="30" customHeight="1">
      <x:c r="A1" s="5" t="str">
        <x:v>Control de encomiendas</x:v>
      </x:c>
    </x:row>
    <x:row r="2" ht="22" customHeight="1">
      <x:c r="A2" s="13" t="str">
        <x:v>Detalle de paquetes, riesgos, fotos, peso y validación manual.</x:v>
      </x:c>
    </x:row>
    <x:row r="4">
      <x:c r="A4" s="64" t="str">
        <x:v>ID_SERVICIO</x:v>
      </x:c>
      <x:c r="B4" s="64" t="str">
        <x:v>DESCRIPCION</x:v>
      </x:c>
      <x:c r="C4" s="64" t="str">
        <x:v>CANTIDAD_BULTOS</x:v>
      </x:c>
      <x:c r="D4" s="64" t="str">
        <x:v>TIPO_CARGA</x:v>
      </x:c>
      <x:c r="E4" s="64" t="str">
        <x:v>PESO_UNITARIO_KG</x:v>
      </x:c>
      <x:c r="F4" s="64" t="str">
        <x:v>PESO_TOTAL_KG</x:v>
      </x:c>
      <x:c r="G4" s="64" t="str">
        <x:v>FOTO_RECIBIDA</x:v>
      </x:c>
      <x:c r="H4" s="64" t="str">
        <x:v>RIESGO</x:v>
      </x:c>
      <x:c r="I4" s="64" t="str">
        <x:v>CUIDADO_ESPECIAL</x:v>
      </x:c>
      <x:c r="J4" s="64" t="str">
        <x:v>VALIDACION_OPERADOR</x:v>
      </x:c>
      <x:c r="K4" s="64" t="str">
        <x:v>DESTINATARIO</x:v>
      </x:c>
      <x:c r="L4" s="64" t="str">
        <x:v>DNI_DESTINATARIO</x:v>
      </x:c>
      <x:c r="M4" s="64" t="str">
        <x:v>OBSERVACION</x:v>
      </x:c>
      <x:c r="N4" s="64" t="str">
        <x:v>ULTIMA_ACTUALIZACION</x:v>
      </x:c>
    </x:row>
    <x:row r="5">
      <x:c r="A5" t="str">
        <x:v>BM-00001</x:v>
      </x:c>
      <x:c r="B5" t="str">
        <x:v>Canasta de víveres y caja de cerveza</x:v>
      </x:c>
      <x:c r="C5" t="n">
        <x:v>2</x:v>
      </x:c>
      <x:c r="D5" t="str">
        <x:v>A coordinar</x:v>
      </x:c>
      <x:c r="E5" t="str"/>
      <x:c r="F5" t="str"/>
      <x:c r="G5" t="str">
        <x:v>NO</x:v>
      </x:c>
      <x:c r="H5" t="str">
        <x:v>BEBIDAS_LIQUIDO</x:v>
      </x:c>
      <x:c r="I5" t="str">
        <x:v>Validar mayoría de edad</x:v>
      </x:c>
      <x:c r="J5" t="str">
        <x:v>PENDIENTE</x:v>
      </x:c>
      <x:c r="K5" t="str">
        <x:v>Abel Salinas</x:v>
      </x:c>
      <x:c r="L5" t="str">
        <x:v>16874530</x:v>
      </x:c>
      <x:c r="M5" t="str"/>
      <x:c r="N5" s="58" t="n">
        <x:v>46161.77916666667</x:v>
      </x:c>
    </x:row>
    <x:row r="6">
      <x:c r="A6" t="str">
        <x:v>BM-00004</x:v>
      </x:c>
      <x:c r="B6" t="str">
        <x:v>Balón de gas lleno y caja de cervezas</x:v>
      </x:c>
      <x:c r="C6" t="n">
        <x:v>2</x:v>
      </x:c>
      <x:c r="D6" t="str">
        <x:v>Carga especial</x:v>
      </x:c>
      <x:c r="E6" t="str"/>
      <x:c r="F6" t="str"/>
      <x:c r="G6" t="str">
        <x:v>SI</x:v>
      </x:c>
      <x:c r="H6" t="str">
        <x:v>CARGA_RIESGOSA</x:v>
      </x:c>
      <x:c r="I6" t="str">
        <x:v>Requiere validación manual</x:v>
      </x:c>
      <x:c r="J6" t="str">
        <x:v>PENDIENTE</x:v>
      </x:c>
      <x:c r="K6" t="str">
        <x:v>María López</x:v>
      </x:c>
      <x:c r="L6" t="str"/>
      <x:c r="M6" t="str">
        <x:v>No asignar sin validar</x:v>
      </x:c>
      <x:c r="N6" s="58" t="n">
        <x:v>46161.729166666664</x:v>
      </x:c>
    </x:row>
    <x:row r="7">
      <x:c r="N7" s="58"/>
    </x:row>
    <x:row r="8">
      <x:c r="N8" s="58"/>
    </x:row>
    <x:row r="9">
      <x:c r="N9" s="58"/>
    </x:row>
    <x:row r="10">
      <x:c r="N10" s="58"/>
    </x:row>
    <x:row r="11">
      <x:c r="N11" s="58"/>
    </x:row>
    <x:row r="12">
      <x:c r="N12" s="58"/>
    </x:row>
    <x:row r="13">
      <x:c r="N13" s="58"/>
    </x:row>
    <x:row r="14">
      <x:c r="N14" s="58"/>
    </x:row>
    <x:row r="15">
      <x:c r="N15" s="58"/>
    </x:row>
    <x:row r="16">
      <x:c r="N16" s="58"/>
    </x:row>
    <x:row r="17">
      <x:c r="N17" s="58"/>
    </x:row>
    <x:row r="18">
      <x:c r="N18" s="58"/>
    </x:row>
    <x:row r="19">
      <x:c r="N19" s="58"/>
    </x:row>
    <x:row r="20">
      <x:c r="N20" s="58"/>
    </x:row>
    <x:row r="21">
      <x:c r="N21" s="58"/>
    </x:row>
    <x:row r="22">
      <x:c r="N22" s="58"/>
    </x:row>
    <x:row r="23">
      <x:c r="N23" s="58"/>
    </x:row>
    <x:row r="24">
      <x:c r="N24" s="58"/>
    </x:row>
    <x:row r="25">
      <x:c r="N25" s="58"/>
    </x:row>
    <x:row r="26">
      <x:c r="N26" s="58"/>
    </x:row>
    <x:row r="27">
      <x:c r="N27" s="58"/>
    </x:row>
    <x:row r="28">
      <x:c r="N28" s="58"/>
    </x:row>
    <x:row r="29">
      <x:c r="N29" s="58"/>
    </x:row>
    <x:row r="30">
      <x:c r="N30" s="58"/>
    </x:row>
    <x:row r="31">
      <x:c r="N31" s="58"/>
    </x:row>
    <x:row r="32">
      <x:c r="N32" s="58"/>
    </x:row>
    <x:row r="33">
      <x:c r="N33" s="58"/>
    </x:row>
    <x:row r="34">
      <x:c r="N34" s="58"/>
    </x:row>
    <x:row r="35">
      <x:c r="N35" s="58"/>
    </x:row>
    <x:row r="36">
      <x:c r="N36" s="58"/>
    </x:row>
    <x:row r="37">
      <x:c r="N37" s="58"/>
    </x:row>
    <x:row r="38">
      <x:c r="N38" s="58"/>
    </x:row>
    <x:row r="39">
      <x:c r="N39" s="58"/>
    </x:row>
    <x:row r="40">
      <x:c r="N40" s="58"/>
    </x:row>
    <x:row r="41">
      <x:c r="N41" s="58"/>
    </x:row>
    <x:row r="42">
      <x:c r="N42" s="58"/>
    </x:row>
    <x:row r="43">
      <x:c r="N43" s="58"/>
    </x:row>
    <x:row r="44">
      <x:c r="N44" s="58"/>
    </x:row>
    <x:row r="45">
      <x:c r="N45" s="58"/>
    </x:row>
    <x:row r="46">
      <x:c r="N46" s="58"/>
    </x:row>
    <x:row r="47">
      <x:c r="N47" s="58"/>
    </x:row>
    <x:row r="48">
      <x:c r="N48" s="58"/>
    </x:row>
    <x:row r="49">
      <x:c r="N49" s="58"/>
    </x:row>
    <x:row r="50">
      <x:c r="N50" s="58"/>
    </x:row>
    <x:row r="51">
      <x:c r="N51" s="58"/>
    </x:row>
    <x:row r="52">
      <x:c r="N52" s="58"/>
    </x:row>
    <x:row r="53">
      <x:c r="N53" s="58"/>
    </x:row>
    <x:row r="54">
      <x:c r="N54" s="58"/>
    </x:row>
    <x:row r="55">
      <x:c r="N55" s="58"/>
    </x:row>
    <x:row r="56">
      <x:c r="N56" s="58"/>
    </x:row>
    <x:row r="57">
      <x:c r="N57" s="58"/>
    </x:row>
    <x:row r="58">
      <x:c r="N58" s="58"/>
    </x:row>
    <x:row r="59">
      <x:c r="N59" s="58"/>
    </x:row>
    <x:row r="60">
      <x:c r="N60" s="58"/>
    </x:row>
    <x:row r="61">
      <x:c r="N61" s="58"/>
    </x:row>
    <x:row r="62">
      <x:c r="N62" s="58"/>
    </x:row>
    <x:row r="63">
      <x:c r="N63" s="58"/>
    </x:row>
    <x:row r="64">
      <x:c r="N64" s="58"/>
    </x:row>
    <x:row r="65">
      <x:c r="N65" s="58"/>
    </x:row>
    <x:row r="66">
      <x:c r="N66" s="58"/>
    </x:row>
    <x:row r="67">
      <x:c r="N67" s="58"/>
    </x:row>
    <x:row r="68">
      <x:c r="N68" s="58"/>
    </x:row>
    <x:row r="69">
      <x:c r="N69" s="58"/>
    </x:row>
    <x:row r="70">
      <x:c r="N70" s="58"/>
    </x:row>
    <x:row r="71">
      <x:c r="N71" s="58"/>
    </x:row>
    <x:row r="72">
      <x:c r="N72" s="58"/>
    </x:row>
    <x:row r="73">
      <x:c r="N73" s="58"/>
    </x:row>
    <x:row r="74">
      <x:c r="N74" s="58"/>
    </x:row>
    <x:row r="75">
      <x:c r="N75" s="58"/>
    </x:row>
    <x:row r="76">
      <x:c r="N76" s="58"/>
    </x:row>
    <x:row r="77">
      <x:c r="N77" s="58"/>
    </x:row>
    <x:row r="78">
      <x:c r="N78" s="58"/>
    </x:row>
    <x:row r="79">
      <x:c r="N79" s="58"/>
    </x:row>
    <x:row r="80">
      <x:c r="N80" s="58"/>
    </x:row>
    <x:row r="81">
      <x:c r="N81" s="58"/>
    </x:row>
    <x:row r="82">
      <x:c r="N82" s="58"/>
    </x:row>
    <x:row r="83">
      <x:c r="N83" s="58"/>
    </x:row>
    <x:row r="84">
      <x:c r="N84" s="58"/>
    </x:row>
    <x:row r="85">
      <x:c r="N85" s="58"/>
    </x:row>
    <x:row r="86">
      <x:c r="N86" s="58"/>
    </x:row>
    <x:row r="87">
      <x:c r="N87" s="58"/>
    </x:row>
    <x:row r="88">
      <x:c r="N88" s="58"/>
    </x:row>
    <x:row r="89">
      <x:c r="N89" s="58"/>
    </x:row>
    <x:row r="90">
      <x:c r="N90" s="58"/>
    </x:row>
    <x:row r="91">
      <x:c r="N91" s="58"/>
    </x:row>
    <x:row r="92">
      <x:c r="N92" s="58"/>
    </x:row>
    <x:row r="93">
      <x:c r="N93" s="58"/>
    </x:row>
    <x:row r="94">
      <x:c r="N94" s="58"/>
    </x:row>
    <x:row r="95">
      <x:c r="N95" s="58"/>
    </x:row>
    <x:row r="96">
      <x:c r="N96" s="58"/>
    </x:row>
    <x:row r="97">
      <x:c r="N97" s="58"/>
    </x:row>
    <x:row r="98">
      <x:c r="N98" s="58"/>
    </x:row>
    <x:row r="99">
      <x:c r="N99" s="58"/>
    </x:row>
    <x:row r="100">
      <x:c r="N100" s="58"/>
    </x:row>
    <x:row r="101">
      <x:c r="N101" s="58"/>
    </x:row>
    <x:row r="102">
      <x:c r="N102" s="58"/>
    </x:row>
    <x:row r="103">
      <x:c r="N103" s="58"/>
    </x:row>
    <x:row r="104">
      <x:c r="N104" s="58"/>
    </x:row>
    <x:row r="105">
      <x:c r="N105" s="58"/>
    </x:row>
    <x:row r="106">
      <x:c r="N106" s="58"/>
    </x:row>
    <x:row r="107">
      <x:c r="N107" s="58"/>
    </x:row>
    <x:row r="108">
      <x:c r="N108" s="58"/>
    </x:row>
    <x:row r="109">
      <x:c r="N109" s="58"/>
    </x:row>
    <x:row r="110">
      <x:c r="N110" s="58"/>
    </x:row>
    <x:row r="111">
      <x:c r="N111" s="58"/>
    </x:row>
    <x:row r="112">
      <x:c r="N112" s="58"/>
    </x:row>
    <x:row r="113">
      <x:c r="N113" s="58"/>
    </x:row>
    <x:row r="114">
      <x:c r="N114" s="58"/>
    </x:row>
    <x:row r="115">
      <x:c r="N115" s="58"/>
    </x:row>
    <x:row r="116">
      <x:c r="N116" s="58"/>
    </x:row>
    <x:row r="117">
      <x:c r="N117" s="58"/>
    </x:row>
    <x:row r="118">
      <x:c r="N118" s="58"/>
    </x:row>
    <x:row r="119">
      <x:c r="N119" s="58"/>
    </x:row>
    <x:row r="120">
      <x:c r="N120" s="58"/>
    </x:row>
    <x:row r="121">
      <x:c r="N121" s="58"/>
    </x:row>
    <x:row r="122">
      <x:c r="N122" s="58"/>
    </x:row>
    <x:row r="123">
      <x:c r="N123" s="58"/>
    </x:row>
    <x:row r="124">
      <x:c r="N124" s="58"/>
    </x:row>
    <x:row r="125">
      <x:c r="N125" s="58"/>
    </x:row>
    <x:row r="126">
      <x:c r="N126" s="58"/>
    </x:row>
    <x:row r="127">
      <x:c r="N127" s="58"/>
    </x:row>
    <x:row r="128">
      <x:c r="N128" s="58"/>
    </x:row>
    <x:row r="129">
      <x:c r="N129" s="58"/>
    </x:row>
    <x:row r="130">
      <x:c r="N130" s="58"/>
    </x:row>
    <x:row r="131">
      <x:c r="N131" s="58"/>
    </x:row>
    <x:row r="132">
      <x:c r="N132" s="58"/>
    </x:row>
    <x:row r="133">
      <x:c r="N133" s="58"/>
    </x:row>
    <x:row r="134">
      <x:c r="N134" s="58"/>
    </x:row>
    <x:row r="135">
      <x:c r="N135" s="58"/>
    </x:row>
    <x:row r="136">
      <x:c r="N136" s="58"/>
    </x:row>
    <x:row r="137">
      <x:c r="N137" s="58"/>
    </x:row>
    <x:row r="138">
      <x:c r="N138" s="58"/>
    </x:row>
    <x:row r="139">
      <x:c r="N139" s="58"/>
    </x:row>
    <x:row r="140">
      <x:c r="N140" s="58"/>
    </x:row>
    <x:row r="141">
      <x:c r="N141" s="58"/>
    </x:row>
    <x:row r="142">
      <x:c r="N142" s="58"/>
    </x:row>
    <x:row r="143">
      <x:c r="N143" s="58"/>
    </x:row>
    <x:row r="144">
      <x:c r="N144" s="58"/>
    </x:row>
    <x:row r="145">
      <x:c r="N145" s="58"/>
    </x:row>
    <x:row r="146">
      <x:c r="N146" s="58"/>
    </x:row>
    <x:row r="147">
      <x:c r="N147" s="58"/>
    </x:row>
    <x:row r="148">
      <x:c r="N148" s="58"/>
    </x:row>
    <x:row r="149">
      <x:c r="N149" s="58"/>
    </x:row>
    <x:row r="150">
      <x:c r="N150" s="58"/>
    </x:row>
    <x:row r="151">
      <x:c r="N151" s="58"/>
    </x:row>
    <x:row r="152">
      <x:c r="N152" s="58"/>
    </x:row>
    <x:row r="153">
      <x:c r="N153" s="58"/>
    </x:row>
    <x:row r="154">
      <x:c r="N154" s="58"/>
    </x:row>
    <x:row r="155">
      <x:c r="N155" s="58"/>
    </x:row>
    <x:row r="156">
      <x:c r="N156" s="58"/>
    </x:row>
    <x:row r="157">
      <x:c r="N157" s="58"/>
    </x:row>
    <x:row r="158">
      <x:c r="N158" s="58"/>
    </x:row>
    <x:row r="159">
      <x:c r="N159" s="58"/>
    </x:row>
    <x:row r="160">
      <x:c r="N160" s="58"/>
    </x:row>
    <x:row r="161">
      <x:c r="N161" s="58"/>
    </x:row>
    <x:row r="162">
      <x:c r="N162" s="58"/>
    </x:row>
    <x:row r="163">
      <x:c r="N163" s="58"/>
    </x:row>
    <x:row r="164">
      <x:c r="N164" s="58"/>
    </x:row>
    <x:row r="165">
      <x:c r="N165" s="58"/>
    </x:row>
    <x:row r="166">
      <x:c r="N166" s="58"/>
    </x:row>
    <x:row r="167">
      <x:c r="N167" s="58"/>
    </x:row>
    <x:row r="168">
      <x:c r="N168" s="58"/>
    </x:row>
    <x:row r="169">
      <x:c r="N169" s="58"/>
    </x:row>
    <x:row r="170">
      <x:c r="N170" s="58"/>
    </x:row>
    <x:row r="171">
      <x:c r="N171" s="58"/>
    </x:row>
    <x:row r="172">
      <x:c r="N172" s="58"/>
    </x:row>
    <x:row r="173">
      <x:c r="N173" s="58"/>
    </x:row>
    <x:row r="174">
      <x:c r="N174" s="58"/>
    </x:row>
    <x:row r="175">
      <x:c r="N175" s="58"/>
    </x:row>
    <x:row r="176">
      <x:c r="N176" s="58"/>
    </x:row>
    <x:row r="177">
      <x:c r="N177" s="58"/>
    </x:row>
    <x:row r="178">
      <x:c r="N178" s="58"/>
    </x:row>
    <x:row r="179">
      <x:c r="N179" s="58"/>
    </x:row>
    <x:row r="180">
      <x:c r="N180" s="58"/>
    </x:row>
    <x:row r="181">
      <x:c r="N181" s="58"/>
    </x:row>
    <x:row r="182">
      <x:c r="N182" s="58"/>
    </x:row>
    <x:row r="183">
      <x:c r="N183" s="58"/>
    </x:row>
    <x:row r="184">
      <x:c r="N184" s="58"/>
    </x:row>
    <x:row r="185">
      <x:c r="N185" s="58"/>
    </x:row>
    <x:row r="186">
      <x:c r="N186" s="58"/>
    </x:row>
    <x:row r="187">
      <x:c r="N187" s="58"/>
    </x:row>
    <x:row r="188">
      <x:c r="N188" s="58"/>
    </x:row>
    <x:row r="189">
      <x:c r="N189" s="58"/>
    </x:row>
    <x:row r="190">
      <x:c r="N190" s="58"/>
    </x:row>
    <x:row r="191">
      <x:c r="N191" s="58"/>
    </x:row>
    <x:row r="192">
      <x:c r="N192" s="58"/>
    </x:row>
    <x:row r="193">
      <x:c r="N193" s="58"/>
    </x:row>
    <x:row r="194">
      <x:c r="N194" s="58"/>
    </x:row>
    <x:row r="195">
      <x:c r="N195" s="58"/>
    </x:row>
    <x:row r="196">
      <x:c r="N196" s="58"/>
    </x:row>
    <x:row r="197">
      <x:c r="N197" s="58"/>
    </x:row>
    <x:row r="198">
      <x:c r="N198" s="58"/>
    </x:row>
    <x:row r="199">
      <x:c r="N199" s="58"/>
    </x:row>
    <x:row r="200">
      <x:c r="N200" s="58"/>
    </x:row>
    <x:row r="201">
      <x:c r="N201" s="58"/>
    </x:row>
    <x:row r="202">
      <x:c r="N202" s="58"/>
    </x:row>
    <x:row r="203">
      <x:c r="N203" s="58"/>
    </x:row>
    <x:row r="204">
      <x:c r="N204" s="58"/>
    </x:row>
    <x:row r="205">
      <x:c r="N205" s="58"/>
    </x:row>
    <x:row r="206">
      <x:c r="N206" s="58"/>
    </x:row>
    <x:row r="207">
      <x:c r="N207" s="58"/>
    </x:row>
    <x:row r="208">
      <x:c r="N208" s="58"/>
    </x:row>
    <x:row r="209">
      <x:c r="N209" s="58"/>
    </x:row>
    <x:row r="210">
      <x:c r="N210" s="58"/>
    </x:row>
    <x:row r="211">
      <x:c r="N211" s="58"/>
    </x:row>
    <x:row r="212">
      <x:c r="N212" s="58"/>
    </x:row>
    <x:row r="213">
      <x:c r="N213" s="58"/>
    </x:row>
    <x:row r="214">
      <x:c r="N214" s="58"/>
    </x:row>
    <x:row r="215">
      <x:c r="N215" s="58"/>
    </x:row>
    <x:row r="216">
      <x:c r="N216" s="58"/>
    </x:row>
    <x:row r="217">
      <x:c r="N217" s="58"/>
    </x:row>
    <x:row r="218">
      <x:c r="N218" s="58"/>
    </x:row>
    <x:row r="219">
      <x:c r="N219" s="58"/>
    </x:row>
    <x:row r="220">
      <x:c r="N220" s="58"/>
    </x:row>
    <x:row r="221">
      <x:c r="N221" s="58"/>
    </x:row>
    <x:row r="222">
      <x:c r="N222" s="58"/>
    </x:row>
    <x:row r="223">
      <x:c r="N223" s="58"/>
    </x:row>
    <x:row r="224">
      <x:c r="N224" s="58"/>
    </x:row>
    <x:row r="225">
      <x:c r="N225" s="58"/>
    </x:row>
    <x:row r="226">
      <x:c r="N226" s="58"/>
    </x:row>
    <x:row r="227">
      <x:c r="N227" s="58"/>
    </x:row>
    <x:row r="228">
      <x:c r="N228" s="58"/>
    </x:row>
    <x:row r="229">
      <x:c r="N229" s="58"/>
    </x:row>
    <x:row r="230">
      <x:c r="N230" s="58"/>
    </x:row>
    <x:row r="231">
      <x:c r="N231" s="58"/>
    </x:row>
    <x:row r="232">
      <x:c r="N232" s="58"/>
    </x:row>
    <x:row r="233">
      <x:c r="N233" s="58"/>
    </x:row>
    <x:row r="234">
      <x:c r="N234" s="58"/>
    </x:row>
    <x:row r="235">
      <x:c r="N235" s="58"/>
    </x:row>
    <x:row r="236">
      <x:c r="N236" s="58"/>
    </x:row>
    <x:row r="237">
      <x:c r="N237" s="58"/>
    </x:row>
    <x:row r="238">
      <x:c r="N238" s="58"/>
    </x:row>
    <x:row r="239">
      <x:c r="N239" s="58"/>
    </x:row>
    <x:row r="240">
      <x:c r="N240" s="58"/>
    </x:row>
    <x:row r="241">
      <x:c r="N241" s="58"/>
    </x:row>
    <x:row r="242">
      <x:c r="N242" s="58"/>
    </x:row>
    <x:row r="243">
      <x:c r="N243" s="58"/>
    </x:row>
    <x:row r="244">
      <x:c r="N244" s="58"/>
    </x:row>
    <x:row r="245">
      <x:c r="N245" s="58"/>
    </x:row>
    <x:row r="246">
      <x:c r="N246" s="58"/>
    </x:row>
    <x:row r="247">
      <x:c r="N247" s="58"/>
    </x:row>
    <x:row r="248">
      <x:c r="N248" s="58"/>
    </x:row>
    <x:row r="249">
      <x:c r="N249" s="58"/>
    </x:row>
    <x:row r="250">
      <x:c r="N250" s="58"/>
    </x:row>
    <x:row r="251">
      <x:c r="N251" s="58"/>
    </x:row>
    <x:row r="252">
      <x:c r="N252" s="58"/>
    </x:row>
    <x:row r="253">
      <x:c r="N253" s="58"/>
    </x:row>
    <x:row r="254">
      <x:c r="N254" s="58"/>
    </x:row>
    <x:row r="255">
      <x:c r="N255" s="58"/>
    </x:row>
    <x:row r="256">
      <x:c r="N256" s="58"/>
    </x:row>
    <x:row r="257">
      <x:c r="N257" s="58"/>
    </x:row>
    <x:row r="258">
      <x:c r="N258" s="58"/>
    </x:row>
    <x:row r="259">
      <x:c r="N259" s="58"/>
    </x:row>
    <x:row r="260">
      <x:c r="N260" s="58"/>
    </x:row>
    <x:row r="261">
      <x:c r="N261" s="58"/>
    </x:row>
    <x:row r="262">
      <x:c r="N262" s="58"/>
    </x:row>
    <x:row r="263">
      <x:c r="N263" s="58"/>
    </x:row>
    <x:row r="264">
      <x:c r="N264" s="58"/>
    </x:row>
    <x:row r="265">
      <x:c r="N265" s="58"/>
    </x:row>
    <x:row r="266">
      <x:c r="N266" s="58"/>
    </x:row>
    <x:row r="267">
      <x:c r="N267" s="58"/>
    </x:row>
    <x:row r="268">
      <x:c r="N268" s="58"/>
    </x:row>
    <x:row r="269">
      <x:c r="N269" s="58"/>
    </x:row>
    <x:row r="270">
      <x:c r="N270" s="58"/>
    </x:row>
    <x:row r="271">
      <x:c r="N271" s="58"/>
    </x:row>
    <x:row r="272">
      <x:c r="N272" s="58"/>
    </x:row>
    <x:row r="273">
      <x:c r="N273" s="58"/>
    </x:row>
    <x:row r="274">
      <x:c r="N274" s="58"/>
    </x:row>
    <x:row r="275">
      <x:c r="N275" s="58"/>
    </x:row>
    <x:row r="276">
      <x:c r="N276" s="58"/>
    </x:row>
    <x:row r="277">
      <x:c r="N277" s="58"/>
    </x:row>
    <x:row r="278">
      <x:c r="N278" s="58"/>
    </x:row>
    <x:row r="279">
      <x:c r="N279" s="58"/>
    </x:row>
    <x:row r="280">
      <x:c r="N280" s="58"/>
    </x:row>
    <x:row r="281">
      <x:c r="N281" s="58"/>
    </x:row>
    <x:row r="282">
      <x:c r="N282" s="58"/>
    </x:row>
    <x:row r="283">
      <x:c r="N283" s="58"/>
    </x:row>
    <x:row r="284">
      <x:c r="N284" s="58"/>
    </x:row>
    <x:row r="285">
      <x:c r="N285" s="58"/>
    </x:row>
    <x:row r="286">
      <x:c r="N286" s="58"/>
    </x:row>
    <x:row r="287">
      <x:c r="N287" s="58"/>
    </x:row>
    <x:row r="288">
      <x:c r="N288" s="58"/>
    </x:row>
    <x:row r="289">
      <x:c r="N289" s="58"/>
    </x:row>
    <x:row r="290">
      <x:c r="N290" s="58"/>
    </x:row>
    <x:row r="291">
      <x:c r="N291" s="58"/>
    </x:row>
    <x:row r="292">
      <x:c r="N292" s="58"/>
    </x:row>
    <x:row r="293">
      <x:c r="N293" s="58"/>
    </x:row>
    <x:row r="294">
      <x:c r="N294" s="58"/>
    </x:row>
    <x:row r="295">
      <x:c r="N295" s="58"/>
    </x:row>
    <x:row r="296">
      <x:c r="N296" s="58"/>
    </x:row>
    <x:row r="297">
      <x:c r="N297" s="58"/>
    </x:row>
    <x:row r="298">
      <x:c r="N298" s="58"/>
    </x:row>
    <x:row r="299">
      <x:c r="N299" s="58"/>
    </x:row>
    <x:row r="300">
      <x:c r="N300" s="58"/>
    </x:row>
    <x:row r="301">
      <x:c r="N301" s="58"/>
    </x:row>
    <x:row r="302">
      <x:c r="N302" s="58"/>
    </x:row>
    <x:row r="303">
      <x:c r="N303" s="58"/>
    </x:row>
    <x:row r="304">
      <x:c r="N304" s="58"/>
    </x:row>
    <x:row r="305">
      <x:c r="N305" s="58"/>
    </x:row>
    <x:row r="306">
      <x:c r="N306" s="58"/>
    </x:row>
    <x:row r="307">
      <x:c r="N307" s="58"/>
    </x:row>
    <x:row r="308">
      <x:c r="N308" s="58"/>
    </x:row>
    <x:row r="309">
      <x:c r="N309" s="58"/>
    </x:row>
    <x:row r="310">
      <x:c r="N310" s="58"/>
    </x:row>
    <x:row r="311">
      <x:c r="N311" s="58"/>
    </x:row>
    <x:row r="312">
      <x:c r="N312" s="58"/>
    </x:row>
    <x:row r="313">
      <x:c r="N313" s="58"/>
    </x:row>
    <x:row r="314">
      <x:c r="N314" s="58"/>
    </x:row>
    <x:row r="315">
      <x:c r="N315" s="58"/>
    </x:row>
    <x:row r="316">
      <x:c r="N316" s="58"/>
    </x:row>
    <x:row r="317">
      <x:c r="N317" s="58"/>
    </x:row>
    <x:row r="318">
      <x:c r="N318" s="58"/>
    </x:row>
    <x:row r="319">
      <x:c r="N319" s="58"/>
    </x:row>
    <x:row r="320">
      <x:c r="N320" s="58"/>
    </x:row>
    <x:row r="321">
      <x:c r="N321" s="58"/>
    </x:row>
    <x:row r="322">
      <x:c r="N322" s="58"/>
    </x:row>
    <x:row r="323">
      <x:c r="N323" s="58"/>
    </x:row>
    <x:row r="324">
      <x:c r="N324" s="58"/>
    </x:row>
    <x:row r="325">
      <x:c r="N325" s="58"/>
    </x:row>
    <x:row r="326">
      <x:c r="N326" s="58"/>
    </x:row>
    <x:row r="327">
      <x:c r="N327" s="58"/>
    </x:row>
    <x:row r="328">
      <x:c r="N328" s="58"/>
    </x:row>
    <x:row r="329">
      <x:c r="N329" s="58"/>
    </x:row>
    <x:row r="330">
      <x:c r="N330" s="58"/>
    </x:row>
    <x:row r="331">
      <x:c r="N331" s="58"/>
    </x:row>
    <x:row r="332">
      <x:c r="N332" s="58"/>
    </x:row>
    <x:row r="333">
      <x:c r="N333" s="58"/>
    </x:row>
    <x:row r="334">
      <x:c r="N334" s="58"/>
    </x:row>
    <x:row r="335">
      <x:c r="N335" s="58"/>
    </x:row>
    <x:row r="336">
      <x:c r="N336" s="58"/>
    </x:row>
    <x:row r="337">
      <x:c r="N337" s="58"/>
    </x:row>
    <x:row r="338">
      <x:c r="N338" s="58"/>
    </x:row>
    <x:row r="339">
      <x:c r="N339" s="58"/>
    </x:row>
    <x:row r="340">
      <x:c r="N340" s="58"/>
    </x:row>
    <x:row r="341">
      <x:c r="N341" s="58"/>
    </x:row>
    <x:row r="342">
      <x:c r="N342" s="58"/>
    </x:row>
    <x:row r="343">
      <x:c r="N343" s="58"/>
    </x:row>
    <x:row r="344">
      <x:c r="N344" s="58"/>
    </x:row>
    <x:row r="345">
      <x:c r="N345" s="58"/>
    </x:row>
    <x:row r="346">
      <x:c r="N346" s="58"/>
    </x:row>
    <x:row r="347">
      <x:c r="N347" s="58"/>
    </x:row>
    <x:row r="348">
      <x:c r="N348" s="58"/>
    </x:row>
    <x:row r="349">
      <x:c r="N349" s="58"/>
    </x:row>
    <x:row r="350">
      <x:c r="N350" s="58"/>
    </x:row>
    <x:row r="351">
      <x:c r="N351" s="58"/>
    </x:row>
    <x:row r="352">
      <x:c r="N352" s="58"/>
    </x:row>
    <x:row r="353">
      <x:c r="N353" s="58"/>
    </x:row>
    <x:row r="354">
      <x:c r="N354" s="58"/>
    </x:row>
    <x:row r="355">
      <x:c r="N355" s="58"/>
    </x:row>
    <x:row r="356">
      <x:c r="N356" s="58"/>
    </x:row>
    <x:row r="357">
      <x:c r="N357" s="58"/>
    </x:row>
    <x:row r="358">
      <x:c r="N358" s="58"/>
    </x:row>
    <x:row r="359">
      <x:c r="N359" s="58"/>
    </x:row>
    <x:row r="360">
      <x:c r="N360" s="58"/>
    </x:row>
    <x:row r="361">
      <x:c r="N361" s="58"/>
    </x:row>
    <x:row r="362">
      <x:c r="N362" s="58"/>
    </x:row>
    <x:row r="363">
      <x:c r="N363" s="58"/>
    </x:row>
    <x:row r="364">
      <x:c r="N364" s="58"/>
    </x:row>
    <x:row r="365">
      <x:c r="N365" s="58"/>
    </x:row>
    <x:row r="366">
      <x:c r="N366" s="58"/>
    </x:row>
    <x:row r="367">
      <x:c r="N367" s="58"/>
    </x:row>
    <x:row r="368">
      <x:c r="N368" s="58"/>
    </x:row>
    <x:row r="369">
      <x:c r="N369" s="58"/>
    </x:row>
    <x:row r="370">
      <x:c r="N370" s="58"/>
    </x:row>
    <x:row r="371">
      <x:c r="N371" s="58"/>
    </x:row>
    <x:row r="372">
      <x:c r="N372" s="58"/>
    </x:row>
    <x:row r="373">
      <x:c r="N373" s="58"/>
    </x:row>
    <x:row r="374">
      <x:c r="N374" s="58"/>
    </x:row>
    <x:row r="375">
      <x:c r="N375" s="58"/>
    </x:row>
    <x:row r="376">
      <x:c r="N376" s="58"/>
    </x:row>
    <x:row r="377">
      <x:c r="N377" s="58"/>
    </x:row>
    <x:row r="378">
      <x:c r="N378" s="58"/>
    </x:row>
    <x:row r="379">
      <x:c r="N379" s="58"/>
    </x:row>
    <x:row r="380">
      <x:c r="N380" s="58"/>
    </x:row>
    <x:row r="381">
      <x:c r="N381" s="58"/>
    </x:row>
    <x:row r="382">
      <x:c r="N382" s="58"/>
    </x:row>
    <x:row r="383">
      <x:c r="N383" s="58"/>
    </x:row>
    <x:row r="384">
      <x:c r="N384" s="58"/>
    </x:row>
    <x:row r="385">
      <x:c r="N385" s="58"/>
    </x:row>
    <x:row r="386">
      <x:c r="N386" s="58"/>
    </x:row>
    <x:row r="387">
      <x:c r="N387" s="58"/>
    </x:row>
    <x:row r="388">
      <x:c r="N388" s="58"/>
    </x:row>
    <x:row r="389">
      <x:c r="N389" s="58"/>
    </x:row>
    <x:row r="390">
      <x:c r="N390" s="58"/>
    </x:row>
    <x:row r="391">
      <x:c r="N391" s="58"/>
    </x:row>
    <x:row r="392">
      <x:c r="N392" s="58"/>
    </x:row>
    <x:row r="393">
      <x:c r="N393" s="58"/>
    </x:row>
    <x:row r="394">
      <x:c r="N394" s="58"/>
    </x:row>
    <x:row r="395">
      <x:c r="N395" s="58"/>
    </x:row>
    <x:row r="396">
      <x:c r="N396" s="58"/>
    </x:row>
    <x:row r="397">
      <x:c r="N397" s="58"/>
    </x:row>
    <x:row r="398">
      <x:c r="N398" s="58"/>
    </x:row>
    <x:row r="399">
      <x:c r="N399" s="58"/>
    </x:row>
    <x:row r="400">
      <x:c r="N400" s="58"/>
    </x:row>
    <x:row r="401">
      <x:c r="N401" s="58"/>
    </x:row>
    <x:row r="402">
      <x:c r="N402" s="58"/>
    </x:row>
    <x:row r="403">
      <x:c r="N403" s="58"/>
    </x:row>
    <x:row r="404">
      <x:c r="N404" s="58"/>
    </x:row>
    <x:row r="405">
      <x:c r="N405" s="58"/>
    </x:row>
    <x:row r="406">
      <x:c r="N406" s="58"/>
    </x:row>
    <x:row r="407">
      <x:c r="N407" s="58"/>
    </x:row>
    <x:row r="408">
      <x:c r="N408" s="58"/>
    </x:row>
    <x:row r="409">
      <x:c r="N409" s="58"/>
    </x:row>
    <x:row r="410">
      <x:c r="N410" s="58"/>
    </x:row>
    <x:row r="411">
      <x:c r="N411" s="58"/>
    </x:row>
    <x:row r="412">
      <x:c r="N412" s="58"/>
    </x:row>
    <x:row r="413">
      <x:c r="N413" s="58"/>
    </x:row>
    <x:row r="414">
      <x:c r="N414" s="58"/>
    </x:row>
    <x:row r="415">
      <x:c r="N415" s="58"/>
    </x:row>
    <x:row r="416">
      <x:c r="N416" s="58"/>
    </x:row>
    <x:row r="417">
      <x:c r="N417" s="58"/>
    </x:row>
    <x:row r="418">
      <x:c r="N418" s="58"/>
    </x:row>
    <x:row r="419">
      <x:c r="N419" s="58"/>
    </x:row>
    <x:row r="420">
      <x:c r="N420" s="58"/>
    </x:row>
    <x:row r="421">
      <x:c r="N421" s="58"/>
    </x:row>
    <x:row r="422">
      <x:c r="N422" s="58"/>
    </x:row>
    <x:row r="423">
      <x:c r="N423" s="58"/>
    </x:row>
    <x:row r="424">
      <x:c r="N424" s="58"/>
    </x:row>
    <x:row r="425">
      <x:c r="N425" s="58"/>
    </x:row>
    <x:row r="426">
      <x:c r="N426" s="58"/>
    </x:row>
    <x:row r="427">
      <x:c r="N427" s="58"/>
    </x:row>
    <x:row r="428">
      <x:c r="N428" s="58"/>
    </x:row>
    <x:row r="429">
      <x:c r="N429" s="58"/>
    </x:row>
    <x:row r="430">
      <x:c r="N430" s="58"/>
    </x:row>
    <x:row r="431">
      <x:c r="N431" s="58"/>
    </x:row>
    <x:row r="432">
      <x:c r="N432" s="58"/>
    </x:row>
    <x:row r="433">
      <x:c r="N433" s="58"/>
    </x:row>
    <x:row r="434">
      <x:c r="N434" s="58"/>
    </x:row>
    <x:row r="435">
      <x:c r="N435" s="58"/>
    </x:row>
    <x:row r="436">
      <x:c r="N436" s="58"/>
    </x:row>
    <x:row r="437">
      <x:c r="N437" s="58"/>
    </x:row>
    <x:row r="438">
      <x:c r="N438" s="58"/>
    </x:row>
    <x:row r="439">
      <x:c r="N439" s="58"/>
    </x:row>
    <x:row r="440">
      <x:c r="N440" s="58"/>
    </x:row>
    <x:row r="441">
      <x:c r="N441" s="58"/>
    </x:row>
    <x:row r="442">
      <x:c r="N442" s="58"/>
    </x:row>
    <x:row r="443">
      <x:c r="N443" s="58"/>
    </x:row>
    <x:row r="444">
      <x:c r="N444" s="58"/>
    </x:row>
    <x:row r="445">
      <x:c r="N445" s="58"/>
    </x:row>
    <x:row r="446">
      <x:c r="N446" s="58"/>
    </x:row>
    <x:row r="447">
      <x:c r="N447" s="58"/>
    </x:row>
    <x:row r="448">
      <x:c r="N448" s="58"/>
    </x:row>
    <x:row r="449">
      <x:c r="N449" s="58"/>
    </x:row>
    <x:row r="450">
      <x:c r="N450" s="58"/>
    </x:row>
    <x:row r="451">
      <x:c r="N451" s="58"/>
    </x:row>
    <x:row r="452">
      <x:c r="N452" s="58"/>
    </x:row>
    <x:row r="453">
      <x:c r="N453" s="58"/>
    </x:row>
    <x:row r="454">
      <x:c r="N454" s="58"/>
    </x:row>
    <x:row r="455">
      <x:c r="N455" s="58"/>
    </x:row>
    <x:row r="456">
      <x:c r="N456" s="58"/>
    </x:row>
    <x:row r="457">
      <x:c r="N457" s="58"/>
    </x:row>
    <x:row r="458">
      <x:c r="N458" s="58"/>
    </x:row>
    <x:row r="459">
      <x:c r="N459" s="58"/>
    </x:row>
    <x:row r="460">
      <x:c r="N460" s="58"/>
    </x:row>
    <x:row r="461">
      <x:c r="N461" s="58"/>
    </x:row>
    <x:row r="462">
      <x:c r="N462" s="58"/>
    </x:row>
    <x:row r="463">
      <x:c r="N463" s="58"/>
    </x:row>
    <x:row r="464">
      <x:c r="N464" s="58"/>
    </x:row>
    <x:row r="465">
      <x:c r="N465" s="58"/>
    </x:row>
    <x:row r="466">
      <x:c r="N466" s="58"/>
    </x:row>
    <x:row r="467">
      <x:c r="N467" s="58"/>
    </x:row>
    <x:row r="468">
      <x:c r="N468" s="58"/>
    </x:row>
    <x:row r="469">
      <x:c r="N469" s="58"/>
    </x:row>
    <x:row r="470">
      <x:c r="N470" s="58"/>
    </x:row>
    <x:row r="471">
      <x:c r="N471" s="58"/>
    </x:row>
    <x:row r="472">
      <x:c r="N472" s="58"/>
    </x:row>
    <x:row r="473">
      <x:c r="N473" s="58"/>
    </x:row>
    <x:row r="474">
      <x:c r="N474" s="58"/>
    </x:row>
    <x:row r="475">
      <x:c r="N475" s="58"/>
    </x:row>
    <x:row r="476">
      <x:c r="N476" s="58"/>
    </x:row>
    <x:row r="477">
      <x:c r="N477" s="58"/>
    </x:row>
    <x:row r="478">
      <x:c r="N478" s="58"/>
    </x:row>
    <x:row r="479">
      <x:c r="N479" s="58"/>
    </x:row>
    <x:row r="480">
      <x:c r="N480" s="58"/>
    </x:row>
    <x:row r="481">
      <x:c r="N481" s="58"/>
    </x:row>
    <x:row r="482">
      <x:c r="N482" s="58"/>
    </x:row>
    <x:row r="483">
      <x:c r="N483" s="58"/>
    </x:row>
    <x:row r="484">
      <x:c r="N484" s="58"/>
    </x:row>
    <x:row r="485">
      <x:c r="N485" s="58"/>
    </x:row>
    <x:row r="486">
      <x:c r="N486" s="58"/>
    </x:row>
    <x:row r="487">
      <x:c r="N487" s="58"/>
    </x:row>
    <x:row r="488">
      <x:c r="N488" s="58"/>
    </x:row>
    <x:row r="489">
      <x:c r="N489" s="58"/>
    </x:row>
    <x:row r="490">
      <x:c r="N490" s="58"/>
    </x:row>
    <x:row r="491">
      <x:c r="N491" s="58"/>
    </x:row>
    <x:row r="492">
      <x:c r="N492" s="58"/>
    </x:row>
    <x:row r="493">
      <x:c r="N493" s="58"/>
    </x:row>
    <x:row r="494">
      <x:c r="N494" s="58"/>
    </x:row>
    <x:row r="495">
      <x:c r="N495" s="58"/>
    </x:row>
    <x:row r="496">
      <x:c r="N496" s="58"/>
    </x:row>
    <x:row r="497">
      <x:c r="N497" s="58"/>
    </x:row>
    <x:row r="498">
      <x:c r="N498" s="58"/>
    </x:row>
    <x:row r="499">
      <x:c r="N499" s="58"/>
    </x:row>
    <x:row r="500">
      <x:c r="N500" s="58"/>
    </x:row>
    <x:row r="501">
      <x:c r="N501" s="58"/>
    </x:row>
    <x:row r="502">
      <x:c r="N502" s="58"/>
    </x:row>
    <x:row r="503">
      <x:c r="N503" s="58"/>
    </x:row>
    <x:row r="504">
      <x:c r="N504" s="58"/>
    </x:row>
    <x:row r="505">
      <x:c r="N505" s="58"/>
    </x:row>
    <x:row r="506">
      <x:c r="N506" s="58"/>
    </x:row>
    <x:row r="507">
      <x:c r="N507" s="58"/>
    </x:row>
    <x:row r="508">
      <x:c r="N508" s="58"/>
    </x:row>
    <x:row r="509">
      <x:c r="N509" s="58"/>
    </x:row>
    <x:row r="510">
      <x:c r="N510" s="58"/>
    </x:row>
    <x:row r="511">
      <x:c r="N511" s="58"/>
    </x:row>
    <x:row r="512">
      <x:c r="N512" s="58"/>
    </x:row>
    <x:row r="513">
      <x:c r="N513" s="58"/>
    </x:row>
    <x:row r="514">
      <x:c r="N514" s="58"/>
    </x:row>
    <x:row r="515">
      <x:c r="N515" s="58"/>
    </x:row>
    <x:row r="516">
      <x:c r="N516" s="58"/>
    </x:row>
    <x:row r="517">
      <x:c r="N517" s="58"/>
    </x:row>
    <x:row r="518">
      <x:c r="N518" s="58"/>
    </x:row>
    <x:row r="519">
      <x:c r="N519" s="58"/>
    </x:row>
    <x:row r="520">
      <x:c r="N520" s="58"/>
    </x:row>
    <x:row r="521">
      <x:c r="N521" s="58"/>
    </x:row>
    <x:row r="522">
      <x:c r="N522" s="58"/>
    </x:row>
    <x:row r="523">
      <x:c r="N523" s="58"/>
    </x:row>
    <x:row r="524">
      <x:c r="N524" s="58"/>
    </x:row>
    <x:row r="525">
      <x:c r="N525" s="58"/>
    </x:row>
    <x:row r="526">
      <x:c r="N526" s="58"/>
    </x:row>
    <x:row r="527">
      <x:c r="N527" s="58"/>
    </x:row>
    <x:row r="528">
      <x:c r="N528" s="58"/>
    </x:row>
    <x:row r="529">
      <x:c r="N529" s="58"/>
    </x:row>
    <x:row r="530">
      <x:c r="N530" s="58"/>
    </x:row>
    <x:row r="531">
      <x:c r="N531" s="58"/>
    </x:row>
    <x:row r="532">
      <x:c r="N532" s="58"/>
    </x:row>
    <x:row r="533">
      <x:c r="N533" s="58"/>
    </x:row>
    <x:row r="534">
      <x:c r="N534" s="58"/>
    </x:row>
    <x:row r="535">
      <x:c r="N535" s="58"/>
    </x:row>
    <x:row r="536">
      <x:c r="N536" s="58"/>
    </x:row>
    <x:row r="537">
      <x:c r="N537" s="58"/>
    </x:row>
    <x:row r="538">
      <x:c r="N538" s="58"/>
    </x:row>
    <x:row r="539">
      <x:c r="N539" s="58"/>
    </x:row>
    <x:row r="540">
      <x:c r="N540" s="58"/>
    </x:row>
    <x:row r="541">
      <x:c r="N541" s="58"/>
    </x:row>
    <x:row r="542">
      <x:c r="N542" s="58"/>
    </x:row>
    <x:row r="543">
      <x:c r="N543" s="58"/>
    </x:row>
    <x:row r="544">
      <x:c r="N544" s="58"/>
    </x:row>
    <x:row r="545">
      <x:c r="N545" s="58"/>
    </x:row>
    <x:row r="546">
      <x:c r="N546" s="58"/>
    </x:row>
    <x:row r="547">
      <x:c r="N547" s="58"/>
    </x:row>
    <x:row r="548">
      <x:c r="N548" s="58"/>
    </x:row>
    <x:row r="549">
      <x:c r="N549" s="58"/>
    </x:row>
    <x:row r="550">
      <x:c r="N550" s="58"/>
    </x:row>
    <x:row r="551">
      <x:c r="N551" s="58"/>
    </x:row>
    <x:row r="552">
      <x:c r="N552" s="58"/>
    </x:row>
    <x:row r="553">
      <x:c r="N553" s="58"/>
    </x:row>
    <x:row r="554">
      <x:c r="N554" s="58"/>
    </x:row>
    <x:row r="555">
      <x:c r="N555" s="58"/>
    </x:row>
    <x:row r="556">
      <x:c r="N556" s="58"/>
    </x:row>
    <x:row r="557">
      <x:c r="N557" s="58"/>
    </x:row>
    <x:row r="558">
      <x:c r="N558" s="58"/>
    </x:row>
    <x:row r="559">
      <x:c r="N559" s="58"/>
    </x:row>
    <x:row r="560">
      <x:c r="N560" s="58"/>
    </x:row>
    <x:row r="561">
      <x:c r="N561" s="58"/>
    </x:row>
    <x:row r="562">
      <x:c r="N562" s="58"/>
    </x:row>
    <x:row r="563">
      <x:c r="N563" s="58"/>
    </x:row>
    <x:row r="564">
      <x:c r="N564" s="58"/>
    </x:row>
    <x:row r="565">
      <x:c r="N565" s="58"/>
    </x:row>
    <x:row r="566">
      <x:c r="N566" s="58"/>
    </x:row>
    <x:row r="567">
      <x:c r="N567" s="58"/>
    </x:row>
    <x:row r="568">
      <x:c r="N568" s="58"/>
    </x:row>
    <x:row r="569">
      <x:c r="N569" s="58"/>
    </x:row>
    <x:row r="570">
      <x:c r="N570" s="58"/>
    </x:row>
    <x:row r="571">
      <x:c r="N571" s="58"/>
    </x:row>
    <x:row r="572">
      <x:c r="N572" s="58"/>
    </x:row>
    <x:row r="573">
      <x:c r="N573" s="58"/>
    </x:row>
    <x:row r="574">
      <x:c r="N574" s="58"/>
    </x:row>
    <x:row r="575">
      <x:c r="N575" s="58"/>
    </x:row>
    <x:row r="576">
      <x:c r="N576" s="58"/>
    </x:row>
    <x:row r="577">
      <x:c r="N577" s="58"/>
    </x:row>
    <x:row r="578">
      <x:c r="N578" s="58"/>
    </x:row>
    <x:row r="579">
      <x:c r="N579" s="58"/>
    </x:row>
    <x:row r="580">
      <x:c r="N580" s="58"/>
    </x:row>
    <x:row r="581">
      <x:c r="N581" s="58"/>
    </x:row>
    <x:row r="582">
      <x:c r="N582" s="58"/>
    </x:row>
    <x:row r="583">
      <x:c r="N583" s="58"/>
    </x:row>
    <x:row r="584">
      <x:c r="N584" s="58"/>
    </x:row>
    <x:row r="585">
      <x:c r="N585" s="58"/>
    </x:row>
    <x:row r="586">
      <x:c r="N586" s="58"/>
    </x:row>
    <x:row r="587">
      <x:c r="N587" s="58"/>
    </x:row>
    <x:row r="588">
      <x:c r="N588" s="58"/>
    </x:row>
    <x:row r="589">
      <x:c r="N589" s="58"/>
    </x:row>
    <x:row r="590">
      <x:c r="N590" s="58"/>
    </x:row>
    <x:row r="591">
      <x:c r="N591" s="58"/>
    </x:row>
    <x:row r="592">
      <x:c r="N592" s="58"/>
    </x:row>
    <x:row r="593">
      <x:c r="N593" s="58"/>
    </x:row>
    <x:row r="594">
      <x:c r="N594" s="58"/>
    </x:row>
    <x:row r="595">
      <x:c r="N595" s="58"/>
    </x:row>
    <x:row r="596">
      <x:c r="N596" s="58"/>
    </x:row>
    <x:row r="597">
      <x:c r="N597" s="58"/>
    </x:row>
    <x:row r="598">
      <x:c r="N598" s="58"/>
    </x:row>
    <x:row r="599">
      <x:c r="N599" s="58"/>
    </x:row>
    <x:row r="600">
      <x:c r="N600" s="58"/>
    </x:row>
    <x:row r="601">
      <x:c r="N601" s="58"/>
    </x:row>
    <x:row r="602">
      <x:c r="N602" s="58"/>
    </x:row>
    <x:row r="603">
      <x:c r="N603" s="58"/>
    </x:row>
    <x:row r="604">
      <x:c r="N604" s="58"/>
    </x:row>
    <x:row r="605">
      <x:c r="N605" s="58"/>
    </x:row>
    <x:row r="606">
      <x:c r="N606" s="58"/>
    </x:row>
    <x:row r="607">
      <x:c r="N607" s="58"/>
    </x:row>
    <x:row r="608">
      <x:c r="N608" s="58"/>
    </x:row>
    <x:row r="609">
      <x:c r="N609" s="58"/>
    </x:row>
    <x:row r="610">
      <x:c r="N610" s="58"/>
    </x:row>
    <x:row r="611">
      <x:c r="N611" s="58"/>
    </x:row>
    <x:row r="612">
      <x:c r="N612" s="58"/>
    </x:row>
    <x:row r="613">
      <x:c r="N613" s="58"/>
    </x:row>
    <x:row r="614">
      <x:c r="N614" s="58"/>
    </x:row>
    <x:row r="615">
      <x:c r="N615" s="58"/>
    </x:row>
    <x:row r="616">
      <x:c r="N616" s="58"/>
    </x:row>
    <x:row r="617">
      <x:c r="N617" s="58"/>
    </x:row>
    <x:row r="618">
      <x:c r="N618" s="58"/>
    </x:row>
    <x:row r="619">
      <x:c r="N619" s="58"/>
    </x:row>
    <x:row r="620">
      <x:c r="N620" s="58"/>
    </x:row>
    <x:row r="621">
      <x:c r="N621" s="58"/>
    </x:row>
    <x:row r="622">
      <x:c r="N622" s="58"/>
    </x:row>
    <x:row r="623">
      <x:c r="N623" s="58"/>
    </x:row>
    <x:row r="624">
      <x:c r="N624" s="58"/>
    </x:row>
    <x:row r="625">
      <x:c r="N625" s="58"/>
    </x:row>
    <x:row r="626">
      <x:c r="N626" s="58"/>
    </x:row>
    <x:row r="627">
      <x:c r="N627" s="58"/>
    </x:row>
    <x:row r="628">
      <x:c r="N628" s="58"/>
    </x:row>
    <x:row r="629">
      <x:c r="N629" s="58"/>
    </x:row>
    <x:row r="630">
      <x:c r="N630" s="58"/>
    </x:row>
    <x:row r="631">
      <x:c r="N631" s="58"/>
    </x:row>
    <x:row r="632">
      <x:c r="N632" s="58"/>
    </x:row>
    <x:row r="633">
      <x:c r="N633" s="58"/>
    </x:row>
    <x:row r="634">
      <x:c r="N634" s="58"/>
    </x:row>
    <x:row r="635">
      <x:c r="N635" s="58"/>
    </x:row>
    <x:row r="636">
      <x:c r="N636" s="58"/>
    </x:row>
    <x:row r="637">
      <x:c r="N637" s="58"/>
    </x:row>
    <x:row r="638">
      <x:c r="N638" s="58"/>
    </x:row>
    <x:row r="639">
      <x:c r="N639" s="58"/>
    </x:row>
    <x:row r="640">
      <x:c r="N640" s="58"/>
    </x:row>
    <x:row r="641">
      <x:c r="N641" s="58"/>
    </x:row>
    <x:row r="642">
      <x:c r="N642" s="58"/>
    </x:row>
    <x:row r="643">
      <x:c r="N643" s="58"/>
    </x:row>
    <x:row r="644">
      <x:c r="N644" s="58"/>
    </x:row>
    <x:row r="645">
      <x:c r="N645" s="58"/>
    </x:row>
    <x:row r="646">
      <x:c r="N646" s="58"/>
    </x:row>
    <x:row r="647">
      <x:c r="N647" s="58"/>
    </x:row>
    <x:row r="648">
      <x:c r="N648" s="58"/>
    </x:row>
    <x:row r="649">
      <x:c r="N649" s="58"/>
    </x:row>
    <x:row r="650">
      <x:c r="N650" s="58"/>
    </x:row>
    <x:row r="651">
      <x:c r="N651" s="58"/>
    </x:row>
    <x:row r="652">
      <x:c r="N652" s="58"/>
    </x:row>
    <x:row r="653">
      <x:c r="N653" s="58"/>
    </x:row>
    <x:row r="654">
      <x:c r="N654" s="58"/>
    </x:row>
    <x:row r="655">
      <x:c r="N655" s="58"/>
    </x:row>
    <x:row r="656">
      <x:c r="N656" s="58"/>
    </x:row>
    <x:row r="657">
      <x:c r="N657" s="58"/>
    </x:row>
    <x:row r="658">
      <x:c r="N658" s="58"/>
    </x:row>
    <x:row r="659">
      <x:c r="N659" s="58"/>
    </x:row>
    <x:row r="660">
      <x:c r="N660" s="58"/>
    </x:row>
    <x:row r="661">
      <x:c r="N661" s="58"/>
    </x:row>
    <x:row r="662">
      <x:c r="N662" s="58"/>
    </x:row>
    <x:row r="663">
      <x:c r="N663" s="58"/>
    </x:row>
    <x:row r="664">
      <x:c r="N664" s="58"/>
    </x:row>
    <x:row r="665">
      <x:c r="N665" s="58"/>
    </x:row>
    <x:row r="666">
      <x:c r="N666" s="58"/>
    </x:row>
    <x:row r="667">
      <x:c r="N667" s="58"/>
    </x:row>
    <x:row r="668">
      <x:c r="N668" s="58"/>
    </x:row>
    <x:row r="669">
      <x:c r="N669" s="58"/>
    </x:row>
    <x:row r="670">
      <x:c r="N670" s="58"/>
    </x:row>
    <x:row r="671">
      <x:c r="N671" s="58"/>
    </x:row>
    <x:row r="672">
      <x:c r="N672" s="58"/>
    </x:row>
    <x:row r="673">
      <x:c r="N673" s="58"/>
    </x:row>
    <x:row r="674">
      <x:c r="N674" s="58"/>
    </x:row>
    <x:row r="675">
      <x:c r="N675" s="58"/>
    </x:row>
    <x:row r="676">
      <x:c r="N676" s="58"/>
    </x:row>
    <x:row r="677">
      <x:c r="N677" s="58"/>
    </x:row>
    <x:row r="678">
      <x:c r="N678" s="58"/>
    </x:row>
    <x:row r="679">
      <x:c r="N679" s="58"/>
    </x:row>
    <x:row r="680">
      <x:c r="N680" s="58"/>
    </x:row>
    <x:row r="681">
      <x:c r="N681" s="58"/>
    </x:row>
    <x:row r="682">
      <x:c r="N682" s="58"/>
    </x:row>
    <x:row r="683">
      <x:c r="N683" s="58"/>
    </x:row>
    <x:row r="684">
      <x:c r="N684" s="58"/>
    </x:row>
    <x:row r="685">
      <x:c r="N685" s="58"/>
    </x:row>
    <x:row r="686">
      <x:c r="N686" s="58"/>
    </x:row>
    <x:row r="687">
      <x:c r="N687" s="58"/>
    </x:row>
    <x:row r="688">
      <x:c r="N688" s="58"/>
    </x:row>
    <x:row r="689">
      <x:c r="N689" s="58"/>
    </x:row>
    <x:row r="690">
      <x:c r="N690" s="58"/>
    </x:row>
    <x:row r="691">
      <x:c r="N691" s="58"/>
    </x:row>
    <x:row r="692">
      <x:c r="N692" s="58"/>
    </x:row>
    <x:row r="693">
      <x:c r="N693" s="58"/>
    </x:row>
    <x:row r="694">
      <x:c r="N694" s="58"/>
    </x:row>
    <x:row r="695">
      <x:c r="N695" s="58"/>
    </x:row>
    <x:row r="696">
      <x:c r="N696" s="58"/>
    </x:row>
    <x:row r="697">
      <x:c r="N697" s="58"/>
    </x:row>
    <x:row r="698">
      <x:c r="N698" s="58"/>
    </x:row>
    <x:row r="699">
      <x:c r="N699" s="58"/>
    </x:row>
    <x:row r="700">
      <x:c r="N700" s="58"/>
    </x:row>
    <x:row r="701">
      <x:c r="N701" s="58"/>
    </x:row>
    <x:row r="702">
      <x:c r="N702" s="58"/>
    </x:row>
    <x:row r="703">
      <x:c r="N703" s="58"/>
    </x:row>
    <x:row r="704">
      <x:c r="N704" s="58"/>
    </x:row>
    <x:row r="705">
      <x:c r="N705" s="58"/>
    </x:row>
    <x:row r="706">
      <x:c r="N706" s="58"/>
    </x:row>
    <x:row r="707">
      <x:c r="N707" s="58"/>
    </x:row>
    <x:row r="708">
      <x:c r="N708" s="58"/>
    </x:row>
    <x:row r="709">
      <x:c r="N709" s="58"/>
    </x:row>
    <x:row r="710">
      <x:c r="N710" s="58"/>
    </x:row>
    <x:row r="711">
      <x:c r="N711" s="58"/>
    </x:row>
    <x:row r="712">
      <x:c r="N712" s="58"/>
    </x:row>
    <x:row r="713">
      <x:c r="N713" s="58"/>
    </x:row>
    <x:row r="714">
      <x:c r="N714" s="58"/>
    </x:row>
    <x:row r="715">
      <x:c r="N715" s="58"/>
    </x:row>
    <x:row r="716">
      <x:c r="N716" s="58"/>
    </x:row>
    <x:row r="717">
      <x:c r="N717" s="58"/>
    </x:row>
    <x:row r="718">
      <x:c r="N718" s="58"/>
    </x:row>
    <x:row r="719">
      <x:c r="N719" s="58"/>
    </x:row>
    <x:row r="720">
      <x:c r="N720" s="58"/>
    </x:row>
    <x:row r="721">
      <x:c r="N721" s="58"/>
    </x:row>
    <x:row r="722">
      <x:c r="N722" s="58"/>
    </x:row>
    <x:row r="723">
      <x:c r="N723" s="58"/>
    </x:row>
    <x:row r="724">
      <x:c r="N724" s="58"/>
    </x:row>
    <x:row r="725">
      <x:c r="N725" s="58"/>
    </x:row>
    <x:row r="726">
      <x:c r="N726" s="58"/>
    </x:row>
    <x:row r="727">
      <x:c r="N727" s="58"/>
    </x:row>
    <x:row r="728">
      <x:c r="N728" s="58"/>
    </x:row>
    <x:row r="729">
      <x:c r="N729" s="58"/>
    </x:row>
    <x:row r="730">
      <x:c r="N730" s="58"/>
    </x:row>
    <x:row r="731">
      <x:c r="N731" s="58"/>
    </x:row>
    <x:row r="732">
      <x:c r="N732" s="58"/>
    </x:row>
    <x:row r="733">
      <x:c r="N733" s="58"/>
    </x:row>
    <x:row r="734">
      <x:c r="N734" s="58"/>
    </x:row>
    <x:row r="735">
      <x:c r="N735" s="58"/>
    </x:row>
    <x:row r="736">
      <x:c r="N736" s="58"/>
    </x:row>
    <x:row r="737">
      <x:c r="N737" s="58"/>
    </x:row>
    <x:row r="738">
      <x:c r="N738" s="58"/>
    </x:row>
    <x:row r="739">
      <x:c r="N739" s="58"/>
    </x:row>
    <x:row r="740">
      <x:c r="N740" s="58"/>
    </x:row>
    <x:row r="741">
      <x:c r="N741" s="58"/>
    </x:row>
    <x:row r="742">
      <x:c r="N742" s="58"/>
    </x:row>
    <x:row r="743">
      <x:c r="N743" s="58"/>
    </x:row>
    <x:row r="744">
      <x:c r="N744" s="58"/>
    </x:row>
    <x:row r="745">
      <x:c r="N745" s="58"/>
    </x:row>
    <x:row r="746">
      <x:c r="N746" s="58"/>
    </x:row>
    <x:row r="747">
      <x:c r="N747" s="58"/>
    </x:row>
    <x:row r="748">
      <x:c r="N748" s="58"/>
    </x:row>
    <x:row r="749">
      <x:c r="N749" s="58"/>
    </x:row>
    <x:row r="750">
      <x:c r="N750" s="58"/>
    </x:row>
    <x:row r="751">
      <x:c r="N751" s="58"/>
    </x:row>
    <x:row r="752">
      <x:c r="N752" s="58"/>
    </x:row>
    <x:row r="753">
      <x:c r="N753" s="58"/>
    </x:row>
    <x:row r="754">
      <x:c r="N754" s="58"/>
    </x:row>
    <x:row r="755">
      <x:c r="N755" s="58"/>
    </x:row>
    <x:row r="756">
      <x:c r="N756" s="58"/>
    </x:row>
    <x:row r="757">
      <x:c r="N757" s="58"/>
    </x:row>
    <x:row r="758">
      <x:c r="N758" s="58"/>
    </x:row>
    <x:row r="759">
      <x:c r="N759" s="58"/>
    </x:row>
    <x:row r="760">
      <x:c r="N760" s="58"/>
    </x:row>
    <x:row r="761">
      <x:c r="N761" s="58"/>
    </x:row>
    <x:row r="762">
      <x:c r="N762" s="58"/>
    </x:row>
    <x:row r="763">
      <x:c r="N763" s="58"/>
    </x:row>
    <x:row r="764">
      <x:c r="N764" s="58"/>
    </x:row>
    <x:row r="765">
      <x:c r="N765" s="58"/>
    </x:row>
    <x:row r="766">
      <x:c r="N766" s="58"/>
    </x:row>
    <x:row r="767">
      <x:c r="N767" s="58"/>
    </x:row>
    <x:row r="768">
      <x:c r="N768" s="58"/>
    </x:row>
    <x:row r="769">
      <x:c r="N769" s="58"/>
    </x:row>
    <x:row r="770">
      <x:c r="N770" s="58"/>
    </x:row>
    <x:row r="771">
      <x:c r="N771" s="58"/>
    </x:row>
    <x:row r="772">
      <x:c r="N772" s="58"/>
    </x:row>
    <x:row r="773">
      <x:c r="N773" s="58"/>
    </x:row>
    <x:row r="774">
      <x:c r="N774" s="58"/>
    </x:row>
    <x:row r="775">
      <x:c r="N775" s="58"/>
    </x:row>
    <x:row r="776">
      <x:c r="N776" s="58"/>
    </x:row>
    <x:row r="777">
      <x:c r="N777" s="58"/>
    </x:row>
    <x:row r="778">
      <x:c r="N778" s="58"/>
    </x:row>
    <x:row r="779">
      <x:c r="N779" s="58"/>
    </x:row>
    <x:row r="780">
      <x:c r="N780" s="58"/>
    </x:row>
    <x:row r="781">
      <x:c r="N781" s="58"/>
    </x:row>
    <x:row r="782">
      <x:c r="N782" s="58"/>
    </x:row>
    <x:row r="783">
      <x:c r="N783" s="58"/>
    </x:row>
    <x:row r="784">
      <x:c r="N784" s="58"/>
    </x:row>
    <x:row r="785">
      <x:c r="N785" s="58"/>
    </x:row>
    <x:row r="786">
      <x:c r="N786" s="58"/>
    </x:row>
    <x:row r="787">
      <x:c r="N787" s="58"/>
    </x:row>
    <x:row r="788">
      <x:c r="N788" s="58"/>
    </x:row>
    <x:row r="789">
      <x:c r="N789" s="58"/>
    </x:row>
    <x:row r="790">
      <x:c r="N790" s="58"/>
    </x:row>
    <x:row r="791">
      <x:c r="N791" s="58"/>
    </x:row>
    <x:row r="792">
      <x:c r="N792" s="58"/>
    </x:row>
    <x:row r="793">
      <x:c r="N793" s="58"/>
    </x:row>
    <x:row r="794">
      <x:c r="N794" s="58"/>
    </x:row>
    <x:row r="795">
      <x:c r="N795" s="58"/>
    </x:row>
    <x:row r="796">
      <x:c r="N796" s="58"/>
    </x:row>
    <x:row r="797">
      <x:c r="N797" s="58"/>
    </x:row>
    <x:row r="798">
      <x:c r="N798" s="58"/>
    </x:row>
    <x:row r="799">
      <x:c r="N799" s="58"/>
    </x:row>
    <x:row r="800">
      <x:c r="N800" s="58"/>
    </x:row>
    <x:row r="801">
      <x:c r="N801" s="58"/>
    </x:row>
    <x:row r="802">
      <x:c r="N802" s="58"/>
    </x:row>
    <x:row r="803">
      <x:c r="N803" s="58"/>
    </x:row>
    <x:row r="804">
      <x:c r="N804" s="58"/>
    </x:row>
    <x:row r="805">
      <x:c r="N805" s="58"/>
    </x:row>
    <x:row r="806">
      <x:c r="N806" s="58"/>
    </x:row>
    <x:row r="807">
      <x:c r="N807" s="58"/>
    </x:row>
    <x:row r="808">
      <x:c r="N808" s="58"/>
    </x:row>
    <x:row r="809">
      <x:c r="N809" s="58"/>
    </x:row>
    <x:row r="810">
      <x:c r="N810" s="58"/>
    </x:row>
    <x:row r="811">
      <x:c r="N811" s="58"/>
    </x:row>
    <x:row r="812">
      <x:c r="N812" s="58"/>
    </x:row>
    <x:row r="813">
      <x:c r="N813" s="58"/>
    </x:row>
    <x:row r="814">
      <x:c r="N814" s="58"/>
    </x:row>
    <x:row r="815">
      <x:c r="N815" s="58"/>
    </x:row>
    <x:row r="816">
      <x:c r="N816" s="58"/>
    </x:row>
    <x:row r="817">
      <x:c r="N817" s="58"/>
    </x:row>
    <x:row r="818">
      <x:c r="N818" s="58"/>
    </x:row>
    <x:row r="819">
      <x:c r="N819" s="58"/>
    </x:row>
    <x:row r="820">
      <x:c r="N820" s="58"/>
    </x:row>
    <x:row r="821">
      <x:c r="N821" s="58"/>
    </x:row>
    <x:row r="822">
      <x:c r="N822" s="58"/>
    </x:row>
    <x:row r="823">
      <x:c r="N823" s="58"/>
    </x:row>
    <x:row r="824">
      <x:c r="N824" s="58"/>
    </x:row>
    <x:row r="825">
      <x:c r="N825" s="58"/>
    </x:row>
    <x:row r="826">
      <x:c r="N826" s="58"/>
    </x:row>
    <x:row r="827">
      <x:c r="N827" s="58"/>
    </x:row>
    <x:row r="828">
      <x:c r="N828" s="58"/>
    </x:row>
    <x:row r="829">
      <x:c r="N829" s="58"/>
    </x:row>
    <x:row r="830">
      <x:c r="N830" s="58"/>
    </x:row>
    <x:row r="831">
      <x:c r="N831" s="58"/>
    </x:row>
    <x:row r="832">
      <x:c r="N832" s="58"/>
    </x:row>
    <x:row r="833">
      <x:c r="N833" s="58"/>
    </x:row>
    <x:row r="834">
      <x:c r="N834" s="58"/>
    </x:row>
    <x:row r="835">
      <x:c r="N835" s="58"/>
    </x:row>
    <x:row r="836">
      <x:c r="N836" s="58"/>
    </x:row>
    <x:row r="837">
      <x:c r="N837" s="58"/>
    </x:row>
    <x:row r="838">
      <x:c r="N838" s="58"/>
    </x:row>
    <x:row r="839">
      <x:c r="N839" s="58"/>
    </x:row>
    <x:row r="840">
      <x:c r="N840" s="58"/>
    </x:row>
    <x:row r="841">
      <x:c r="N841" s="58"/>
    </x:row>
    <x:row r="842">
      <x:c r="N842" s="58"/>
    </x:row>
    <x:row r="843">
      <x:c r="N843" s="58"/>
    </x:row>
    <x:row r="844">
      <x:c r="N844" s="58"/>
    </x:row>
    <x:row r="845">
      <x:c r="N845" s="58"/>
    </x:row>
    <x:row r="846">
      <x:c r="N846" s="58"/>
    </x:row>
    <x:row r="847">
      <x:c r="N847" s="58"/>
    </x:row>
    <x:row r="848">
      <x:c r="N848" s="58"/>
    </x:row>
    <x:row r="849">
      <x:c r="N849" s="58"/>
    </x:row>
    <x:row r="850">
      <x:c r="N850" s="58"/>
    </x:row>
    <x:row r="851">
      <x:c r="N851" s="58"/>
    </x:row>
    <x:row r="852">
      <x:c r="N852" s="58"/>
    </x:row>
    <x:row r="853">
      <x:c r="N853" s="58"/>
    </x:row>
    <x:row r="854">
      <x:c r="N854" s="58"/>
    </x:row>
    <x:row r="855">
      <x:c r="N855" s="58"/>
    </x:row>
    <x:row r="856">
      <x:c r="N856" s="58"/>
    </x:row>
    <x:row r="857">
      <x:c r="N857" s="58"/>
    </x:row>
    <x:row r="858">
      <x:c r="N858" s="58"/>
    </x:row>
    <x:row r="859">
      <x:c r="N859" s="58"/>
    </x:row>
    <x:row r="860">
      <x:c r="N860" s="58"/>
    </x:row>
    <x:row r="861">
      <x:c r="N861" s="58"/>
    </x:row>
    <x:row r="862">
      <x:c r="N862" s="58"/>
    </x:row>
    <x:row r="863">
      <x:c r="N863" s="58"/>
    </x:row>
    <x:row r="864">
      <x:c r="N864" s="58"/>
    </x:row>
    <x:row r="865">
      <x:c r="N865" s="58"/>
    </x:row>
    <x:row r="866">
      <x:c r="N866" s="58"/>
    </x:row>
    <x:row r="867">
      <x:c r="N867" s="58"/>
    </x:row>
    <x:row r="868">
      <x:c r="N868" s="58"/>
    </x:row>
    <x:row r="869">
      <x:c r="N869" s="58"/>
    </x:row>
    <x:row r="870">
      <x:c r="N870" s="58"/>
    </x:row>
    <x:row r="871">
      <x:c r="N871" s="58"/>
    </x:row>
    <x:row r="872">
      <x:c r="N872" s="58"/>
    </x:row>
    <x:row r="873">
      <x:c r="N873" s="58"/>
    </x:row>
    <x:row r="874">
      <x:c r="N874" s="58"/>
    </x:row>
    <x:row r="875">
      <x:c r="N875" s="58"/>
    </x:row>
    <x:row r="876">
      <x:c r="N876" s="58"/>
    </x:row>
    <x:row r="877">
      <x:c r="N877" s="58"/>
    </x:row>
    <x:row r="878">
      <x:c r="N878" s="58"/>
    </x:row>
    <x:row r="879">
      <x:c r="N879" s="58"/>
    </x:row>
    <x:row r="880">
      <x:c r="N880" s="58"/>
    </x:row>
    <x:row r="881">
      <x:c r="N881" s="58"/>
    </x:row>
    <x:row r="882">
      <x:c r="N882" s="58"/>
    </x:row>
    <x:row r="883">
      <x:c r="N883" s="58"/>
    </x:row>
    <x:row r="884">
      <x:c r="N884" s="58"/>
    </x:row>
    <x:row r="885">
      <x:c r="N885" s="58"/>
    </x:row>
    <x:row r="886">
      <x:c r="N886" s="58"/>
    </x:row>
    <x:row r="887">
      <x:c r="N887" s="58"/>
    </x:row>
    <x:row r="888">
      <x:c r="N888" s="58"/>
    </x:row>
    <x:row r="889">
      <x:c r="N889" s="58"/>
    </x:row>
    <x:row r="890">
      <x:c r="N890" s="58"/>
    </x:row>
    <x:row r="891">
      <x:c r="N891" s="58"/>
    </x:row>
    <x:row r="892">
      <x:c r="N892" s="58"/>
    </x:row>
    <x:row r="893">
      <x:c r="N893" s="58"/>
    </x:row>
    <x:row r="894">
      <x:c r="N894" s="58"/>
    </x:row>
    <x:row r="895">
      <x:c r="N895" s="58"/>
    </x:row>
    <x:row r="896">
      <x:c r="N896" s="58"/>
    </x:row>
    <x:row r="897">
      <x:c r="N897" s="58"/>
    </x:row>
    <x:row r="898">
      <x:c r="N898" s="58"/>
    </x:row>
    <x:row r="899">
      <x:c r="N899" s="58"/>
    </x:row>
    <x:row r="900">
      <x:c r="N900" s="58"/>
    </x:row>
    <x:row r="901">
      <x:c r="N901" s="58"/>
    </x:row>
    <x:row r="902">
      <x:c r="N902" s="58"/>
    </x:row>
    <x:row r="903">
      <x:c r="N903" s="58"/>
    </x:row>
    <x:row r="904">
      <x:c r="N904" s="58"/>
    </x:row>
    <x:row r="905">
      <x:c r="N905" s="58"/>
    </x:row>
    <x:row r="906">
      <x:c r="N906" s="58"/>
    </x:row>
    <x:row r="907">
      <x:c r="N907" s="58"/>
    </x:row>
    <x:row r="908">
      <x:c r="N908" s="58"/>
    </x:row>
    <x:row r="909">
      <x:c r="N909" s="58"/>
    </x:row>
    <x:row r="910">
      <x:c r="N910" s="58"/>
    </x:row>
    <x:row r="911">
      <x:c r="N911" s="58"/>
    </x:row>
    <x:row r="912">
      <x:c r="N912" s="58"/>
    </x:row>
    <x:row r="913">
      <x:c r="N913" s="58"/>
    </x:row>
    <x:row r="914">
      <x:c r="N914" s="58"/>
    </x:row>
    <x:row r="915">
      <x:c r="N915" s="58"/>
    </x:row>
    <x:row r="916">
      <x:c r="N916" s="58"/>
    </x:row>
    <x:row r="917">
      <x:c r="N917" s="58"/>
    </x:row>
    <x:row r="918">
      <x:c r="N918" s="58"/>
    </x:row>
    <x:row r="919">
      <x:c r="N919" s="58"/>
    </x:row>
    <x:row r="920">
      <x:c r="N920" s="58"/>
    </x:row>
    <x:row r="921">
      <x:c r="N921" s="58"/>
    </x:row>
    <x:row r="922">
      <x:c r="N922" s="58"/>
    </x:row>
    <x:row r="923">
      <x:c r="N923" s="58"/>
    </x:row>
    <x:row r="924">
      <x:c r="N924" s="58"/>
    </x:row>
    <x:row r="925">
      <x:c r="N925" s="58"/>
    </x:row>
    <x:row r="926">
      <x:c r="N926" s="58"/>
    </x:row>
    <x:row r="927">
      <x:c r="N927" s="58"/>
    </x:row>
    <x:row r="928">
      <x:c r="N928" s="58"/>
    </x:row>
    <x:row r="929">
      <x:c r="N929" s="58"/>
    </x:row>
    <x:row r="930">
      <x:c r="N930" s="58"/>
    </x:row>
    <x:row r="931">
      <x:c r="N931" s="58"/>
    </x:row>
    <x:row r="932">
      <x:c r="N932" s="58"/>
    </x:row>
    <x:row r="933">
      <x:c r="N933" s="58"/>
    </x:row>
    <x:row r="934">
      <x:c r="N934" s="58"/>
    </x:row>
    <x:row r="935">
      <x:c r="N935" s="58"/>
    </x:row>
    <x:row r="936">
      <x:c r="N936" s="58"/>
    </x:row>
    <x:row r="937">
      <x:c r="N937" s="58"/>
    </x:row>
    <x:row r="938">
      <x:c r="N938" s="58"/>
    </x:row>
    <x:row r="939">
      <x:c r="N939" s="58"/>
    </x:row>
    <x:row r="940">
      <x:c r="N940" s="58"/>
    </x:row>
    <x:row r="941">
      <x:c r="N941" s="58"/>
    </x:row>
    <x:row r="942">
      <x:c r="N942" s="58"/>
    </x:row>
    <x:row r="943">
      <x:c r="N943" s="58"/>
    </x:row>
    <x:row r="944">
      <x:c r="N944" s="58"/>
    </x:row>
    <x:row r="945">
      <x:c r="N945" s="58"/>
    </x:row>
    <x:row r="946">
      <x:c r="N946" s="58"/>
    </x:row>
    <x:row r="947">
      <x:c r="N947" s="58"/>
    </x:row>
    <x:row r="948">
      <x:c r="N948" s="58"/>
    </x:row>
    <x:row r="949">
      <x:c r="N949" s="58"/>
    </x:row>
    <x:row r="950">
      <x:c r="N950" s="58"/>
    </x:row>
    <x:row r="951">
      <x:c r="N951" s="58"/>
    </x:row>
    <x:row r="952">
      <x:c r="N952" s="58"/>
    </x:row>
    <x:row r="953">
      <x:c r="N953" s="58"/>
    </x:row>
    <x:row r="954">
      <x:c r="N954" s="58"/>
    </x:row>
    <x:row r="955">
      <x:c r="N955" s="58"/>
    </x:row>
    <x:row r="956">
      <x:c r="N956" s="58"/>
    </x:row>
    <x:row r="957">
      <x:c r="N957" s="58"/>
    </x:row>
    <x:row r="958">
      <x:c r="N958" s="58"/>
    </x:row>
    <x:row r="959">
      <x:c r="N959" s="58"/>
    </x:row>
    <x:row r="960">
      <x:c r="N960" s="58"/>
    </x:row>
    <x:row r="961">
      <x:c r="N961" s="58"/>
    </x:row>
    <x:row r="962">
      <x:c r="N962" s="58"/>
    </x:row>
    <x:row r="963">
      <x:c r="N963" s="58"/>
    </x:row>
    <x:row r="964">
      <x:c r="N964" s="58"/>
    </x:row>
    <x:row r="965">
      <x:c r="N965" s="58"/>
    </x:row>
    <x:row r="966">
      <x:c r="N966" s="58"/>
    </x:row>
    <x:row r="967">
      <x:c r="N967" s="58"/>
    </x:row>
    <x:row r="968">
      <x:c r="N968" s="58"/>
    </x:row>
    <x:row r="969">
      <x:c r="N969" s="58"/>
    </x:row>
    <x:row r="970">
      <x:c r="N970" s="58"/>
    </x:row>
    <x:row r="971">
      <x:c r="N971" s="58"/>
    </x:row>
    <x:row r="972">
      <x:c r="N972" s="58"/>
    </x:row>
    <x:row r="973">
      <x:c r="N973" s="58"/>
    </x:row>
    <x:row r="974">
      <x:c r="N974" s="58"/>
    </x:row>
    <x:row r="975">
      <x:c r="N975" s="58"/>
    </x:row>
    <x:row r="976">
      <x:c r="N976" s="58"/>
    </x:row>
    <x:row r="977">
      <x:c r="N977" s="58"/>
    </x:row>
    <x:row r="978">
      <x:c r="N978" s="58"/>
    </x:row>
    <x:row r="979">
      <x:c r="N979" s="58"/>
    </x:row>
    <x:row r="980">
      <x:c r="N980" s="58"/>
    </x:row>
    <x:row r="981">
      <x:c r="N981" s="58"/>
    </x:row>
    <x:row r="982">
      <x:c r="N982" s="58"/>
    </x:row>
    <x:row r="983">
      <x:c r="N983" s="58"/>
    </x:row>
    <x:row r="984">
      <x:c r="N984" s="58"/>
    </x:row>
    <x:row r="985">
      <x:c r="N985" s="58"/>
    </x:row>
    <x:row r="986">
      <x:c r="N986" s="58"/>
    </x:row>
    <x:row r="987">
      <x:c r="N987" s="58"/>
    </x:row>
    <x:row r="988">
      <x:c r="N988" s="58"/>
    </x:row>
    <x:row r="989">
      <x:c r="N989" s="58"/>
    </x:row>
    <x:row r="990">
      <x:c r="N990" s="58"/>
    </x:row>
    <x:row r="991">
      <x:c r="N991" s="58"/>
    </x:row>
    <x:row r="992">
      <x:c r="N992" s="58"/>
    </x:row>
    <x:row r="993">
      <x:c r="N993" s="58"/>
    </x:row>
    <x:row r="994">
      <x:c r="N994" s="58"/>
    </x:row>
    <x:row r="995">
      <x:c r="N995" s="58"/>
    </x:row>
    <x:row r="996">
      <x:c r="N996" s="58"/>
    </x:row>
    <x:row r="997">
      <x:c r="N997" s="58"/>
    </x:row>
    <x:row r="998">
      <x:c r="N998" s="58"/>
    </x:row>
    <x:row r="999">
      <x:c r="N999" s="58"/>
    </x:row>
    <x:row r="1000">
      <x:c r="N1000" s="58"/>
    </x:row>
    <x:row r="1001">
      <x:c r="N1001" s="58"/>
    </x:row>
    <x:row r="1002">
      <x:c r="N1002" s="58"/>
    </x:row>
    <x:row r="1003">
      <x:c r="N1003" s="58"/>
    </x:row>
    <x:row r="1004">
      <x:c r="N1004" s="58"/>
    </x:row>
    <x:row r="1005">
      <x:c r="N1005" s="58"/>
    </x:row>
    <x:row r="1006">
      <x:c r="N1006" s="58"/>
    </x:row>
    <x:row r="1007">
      <x:c r="N1007" s="58"/>
    </x:row>
    <x:row r="1008">
      <x:c r="N1008" s="58"/>
    </x:row>
    <x:row r="1009">
      <x:c r="N1009" s="58"/>
    </x:row>
    <x:row r="1010">
      <x:c r="N1010" s="58"/>
    </x:row>
    <x:row r="1011">
      <x:c r="N1011" s="58"/>
    </x:row>
    <x:row r="1012">
      <x:c r="N1012" s="58"/>
    </x:row>
    <x:row r="1013">
      <x:c r="N1013" s="58"/>
    </x:row>
    <x:row r="1014">
      <x:c r="N1014" s="58"/>
    </x:row>
    <x:row r="1015">
      <x:c r="N1015" s="58"/>
    </x:row>
    <x:row r="1016">
      <x:c r="N1016" s="58"/>
    </x:row>
    <x:row r="1017">
      <x:c r="N1017" s="58"/>
    </x:row>
    <x:row r="1018">
      <x:c r="N1018" s="58"/>
    </x:row>
    <x:row r="1019">
      <x:c r="N1019" s="58"/>
    </x:row>
    <x:row r="1020">
      <x:c r="N1020" s="58"/>
    </x:row>
    <x:row r="1021">
      <x:c r="N1021" s="58"/>
    </x:row>
    <x:row r="1022">
      <x:c r="N1022" s="58"/>
    </x:row>
    <x:row r="1023">
      <x:c r="N1023" s="58"/>
    </x:row>
    <x:row r="1024">
      <x:c r="N1024" s="58"/>
    </x:row>
    <x:row r="1025">
      <x:c r="N1025" s="58"/>
    </x:row>
    <x:row r="1026">
      <x:c r="N1026" s="58"/>
    </x:row>
    <x:row r="1027">
      <x:c r="N1027" s="58"/>
    </x:row>
    <x:row r="1028">
      <x:c r="N1028" s="58"/>
    </x:row>
    <x:row r="1029">
      <x:c r="N1029" s="58"/>
    </x:row>
    <x:row r="1030">
      <x:c r="N1030" s="58"/>
    </x:row>
    <x:row r="1031">
      <x:c r="N1031" s="58"/>
    </x:row>
    <x:row r="1032">
      <x:c r="N1032" s="58"/>
    </x:row>
    <x:row r="1033">
      <x:c r="N1033" s="58"/>
    </x:row>
    <x:row r="1034">
      <x:c r="N1034" s="58"/>
    </x:row>
    <x:row r="1035">
      <x:c r="N1035" s="58"/>
    </x:row>
    <x:row r="1036">
      <x:c r="N1036" s="58"/>
    </x:row>
    <x:row r="1037">
      <x:c r="N1037" s="58"/>
    </x:row>
    <x:row r="1038">
      <x:c r="N1038" s="58"/>
    </x:row>
    <x:row r="1039">
      <x:c r="N1039" s="58"/>
    </x:row>
    <x:row r="1040">
      <x:c r="N1040" s="58"/>
    </x:row>
    <x:row r="1041">
      <x:c r="N1041" s="58"/>
    </x:row>
    <x:row r="1042">
      <x:c r="N1042" s="58"/>
    </x:row>
    <x:row r="1043">
      <x:c r="N1043" s="58"/>
    </x:row>
    <x:row r="1044">
      <x:c r="N1044" s="58"/>
    </x:row>
    <x:row r="1045">
      <x:c r="N1045" s="58"/>
    </x:row>
    <x:row r="1046">
      <x:c r="N1046" s="58"/>
    </x:row>
    <x:row r="1047">
      <x:c r="N1047" s="58"/>
    </x:row>
    <x:row r="1048">
      <x:c r="N1048" s="58"/>
    </x:row>
    <x:row r="1049">
      <x:c r="N1049" s="58"/>
    </x:row>
    <x:row r="1050">
      <x:c r="N1050" s="58"/>
    </x:row>
    <x:row r="1051">
      <x:c r="N1051" s="58"/>
    </x:row>
    <x:row r="1052">
      <x:c r="N1052" s="58"/>
    </x:row>
    <x:row r="1053">
      <x:c r="N1053" s="58"/>
    </x:row>
    <x:row r="1054">
      <x:c r="N1054" s="58"/>
    </x:row>
    <x:row r="1055">
      <x:c r="N1055" s="58"/>
    </x:row>
    <x:row r="1056">
      <x:c r="N1056" s="58"/>
    </x:row>
    <x:row r="1057">
      <x:c r="N1057" s="58"/>
    </x:row>
    <x:row r="1058">
      <x:c r="N1058" s="58"/>
    </x:row>
    <x:row r="1059">
      <x:c r="N1059" s="58"/>
    </x:row>
    <x:row r="1060">
      <x:c r="N1060" s="58"/>
    </x:row>
    <x:row r="1061">
      <x:c r="N1061" s="58"/>
    </x:row>
    <x:row r="1062">
      <x:c r="N1062" s="58"/>
    </x:row>
    <x:row r="1063">
      <x:c r="N1063" s="58"/>
    </x:row>
    <x:row r="1064">
      <x:c r="N1064" s="58"/>
    </x:row>
    <x:row r="1065">
      <x:c r="N1065" s="58"/>
    </x:row>
    <x:row r="1066">
      <x:c r="N1066" s="58"/>
    </x:row>
    <x:row r="1067">
      <x:c r="N1067" s="58"/>
    </x:row>
    <x:row r="1068">
      <x:c r="N1068" s="58"/>
    </x:row>
    <x:row r="1069">
      <x:c r="N1069" s="58"/>
    </x:row>
    <x:row r="1070">
      <x:c r="N1070" s="58"/>
    </x:row>
    <x:row r="1071">
      <x:c r="N1071" s="58"/>
    </x:row>
    <x:row r="1072">
      <x:c r="N1072" s="58"/>
    </x:row>
    <x:row r="1073">
      <x:c r="N1073" s="58"/>
    </x:row>
    <x:row r="1074">
      <x:c r="N1074" s="58"/>
    </x:row>
    <x:row r="1075">
      <x:c r="N1075" s="58"/>
    </x:row>
    <x:row r="1076">
      <x:c r="N1076" s="58"/>
    </x:row>
    <x:row r="1077">
      <x:c r="N1077" s="58"/>
    </x:row>
    <x:row r="1078">
      <x:c r="N1078" s="58"/>
    </x:row>
    <x:row r="1079">
      <x:c r="N1079" s="58"/>
    </x:row>
    <x:row r="1080">
      <x:c r="N1080" s="58"/>
    </x:row>
    <x:row r="1081">
      <x:c r="N1081" s="58"/>
    </x:row>
    <x:row r="1082">
      <x:c r="N1082" s="58"/>
    </x:row>
    <x:row r="1083">
      <x:c r="N1083" s="58"/>
    </x:row>
    <x:row r="1084">
      <x:c r="N1084" s="58"/>
    </x:row>
    <x:row r="1085">
      <x:c r="N1085" s="58"/>
    </x:row>
    <x:row r="1086">
      <x:c r="N1086" s="58"/>
    </x:row>
    <x:row r="1087">
      <x:c r="N1087" s="58"/>
    </x:row>
    <x:row r="1088">
      <x:c r="N1088" s="58"/>
    </x:row>
    <x:row r="1089">
      <x:c r="N1089" s="58"/>
    </x:row>
    <x:row r="1090">
      <x:c r="N1090" s="58"/>
    </x:row>
    <x:row r="1091">
      <x:c r="N1091" s="58"/>
    </x:row>
    <x:row r="1092">
      <x:c r="N1092" s="58"/>
    </x:row>
    <x:row r="1093">
      <x:c r="N1093" s="58"/>
    </x:row>
    <x:row r="1094">
      <x:c r="N1094" s="58"/>
    </x:row>
    <x:row r="1095">
      <x:c r="N1095" s="58"/>
    </x:row>
    <x:row r="1096">
      <x:c r="N1096" s="58"/>
    </x:row>
    <x:row r="1097">
      <x:c r="N1097" s="58"/>
    </x:row>
    <x:row r="1098">
      <x:c r="N1098" s="58"/>
    </x:row>
    <x:row r="1099">
      <x:c r="N1099" s="58"/>
    </x:row>
    <x:row r="1100">
      <x:c r="N1100" s="58"/>
    </x:row>
    <x:row r="1101">
      <x:c r="N1101" s="58"/>
    </x:row>
    <x:row r="1102">
      <x:c r="N1102" s="58"/>
    </x:row>
    <x:row r="1103">
      <x:c r="N1103" s="58"/>
    </x:row>
    <x:row r="1104">
      <x:c r="N1104" s="58"/>
    </x:row>
    <x:row r="1105">
      <x:c r="N1105" s="58"/>
    </x:row>
    <x:row r="1106">
      <x:c r="N1106" s="58"/>
    </x:row>
    <x:row r="1107">
      <x:c r="N1107" s="58"/>
    </x:row>
    <x:row r="1108">
      <x:c r="N1108" s="58"/>
    </x:row>
    <x:row r="1109">
      <x:c r="N1109" s="58"/>
    </x:row>
    <x:row r="1110">
      <x:c r="N1110" s="58"/>
    </x:row>
    <x:row r="1111">
      <x:c r="N1111" s="58"/>
    </x:row>
    <x:row r="1112">
      <x:c r="N1112" s="58"/>
    </x:row>
    <x:row r="1113">
      <x:c r="N1113" s="58"/>
    </x:row>
    <x:row r="1114">
      <x:c r="N1114" s="58"/>
    </x:row>
    <x:row r="1115">
      <x:c r="N1115" s="58"/>
    </x:row>
    <x:row r="1116">
      <x:c r="N1116" s="58"/>
    </x:row>
    <x:row r="1117">
      <x:c r="N1117" s="58"/>
    </x:row>
    <x:row r="1118">
      <x:c r="N1118" s="58"/>
    </x:row>
    <x:row r="1119">
      <x:c r="N1119" s="58"/>
    </x:row>
    <x:row r="1120">
      <x:c r="N1120" s="58"/>
    </x:row>
    <x:row r="1121">
      <x:c r="N1121" s="58"/>
    </x:row>
    <x:row r="1122">
      <x:c r="N1122" s="58"/>
    </x:row>
    <x:row r="1123">
      <x:c r="N1123" s="58"/>
    </x:row>
    <x:row r="1124">
      <x:c r="N1124" s="58"/>
    </x:row>
    <x:row r="1125">
      <x:c r="N1125" s="58"/>
    </x:row>
    <x:row r="1126">
      <x:c r="N1126" s="58"/>
    </x:row>
    <x:row r="1127">
      <x:c r="N1127" s="58"/>
    </x:row>
    <x:row r="1128">
      <x:c r="N1128" s="58"/>
    </x:row>
    <x:row r="1129">
      <x:c r="N1129" s="58"/>
    </x:row>
    <x:row r="1130">
      <x:c r="N1130" s="58"/>
    </x:row>
    <x:row r="1131">
      <x:c r="N1131" s="58"/>
    </x:row>
    <x:row r="1132">
      <x:c r="N1132" s="58"/>
    </x:row>
    <x:row r="1133">
      <x:c r="N1133" s="58"/>
    </x:row>
    <x:row r="1134">
      <x:c r="N1134" s="58"/>
    </x:row>
    <x:row r="1135">
      <x:c r="N1135" s="58"/>
    </x:row>
    <x:row r="1136">
      <x:c r="N1136" s="58"/>
    </x:row>
    <x:row r="1137">
      <x:c r="N1137" s="58"/>
    </x:row>
    <x:row r="1138">
      <x:c r="N1138" s="58"/>
    </x:row>
    <x:row r="1139">
      <x:c r="N1139" s="58"/>
    </x:row>
    <x:row r="1140">
      <x:c r="N1140" s="58"/>
    </x:row>
    <x:row r="1141">
      <x:c r="N1141" s="58"/>
    </x:row>
    <x:row r="1142">
      <x:c r="N1142" s="58"/>
    </x:row>
    <x:row r="1143">
      <x:c r="N1143" s="58"/>
    </x:row>
    <x:row r="1144">
      <x:c r="N1144" s="58"/>
    </x:row>
    <x:row r="1145">
      <x:c r="N1145" s="58"/>
    </x:row>
    <x:row r="1146">
      <x:c r="N1146" s="58"/>
    </x:row>
    <x:row r="1147">
      <x:c r="N1147" s="58"/>
    </x:row>
    <x:row r="1148">
      <x:c r="N1148" s="58"/>
    </x:row>
    <x:row r="1149">
      <x:c r="N1149" s="58"/>
    </x:row>
    <x:row r="1150">
      <x:c r="N1150" s="58"/>
    </x:row>
    <x:row r="1151">
      <x:c r="N1151" s="58"/>
    </x:row>
    <x:row r="1152">
      <x:c r="N1152" s="58"/>
    </x:row>
    <x:row r="1153">
      <x:c r="N1153" s="58"/>
    </x:row>
    <x:row r="1154">
      <x:c r="N1154" s="58"/>
    </x:row>
    <x:row r="1155">
      <x:c r="N1155" s="58"/>
    </x:row>
    <x:row r="1156">
      <x:c r="N1156" s="58"/>
    </x:row>
    <x:row r="1157">
      <x:c r="N1157" s="58"/>
    </x:row>
    <x:row r="1158">
      <x:c r="N1158" s="58"/>
    </x:row>
    <x:row r="1159">
      <x:c r="N1159" s="58"/>
    </x:row>
    <x:row r="1160">
      <x:c r="N1160" s="58"/>
    </x:row>
    <x:row r="1161">
      <x:c r="N1161" s="58"/>
    </x:row>
    <x:row r="1162">
      <x:c r="N1162" s="58"/>
    </x:row>
    <x:row r="1163">
      <x:c r="N1163" s="58"/>
    </x:row>
    <x:row r="1164">
      <x:c r="N1164" s="58"/>
    </x:row>
    <x:row r="1165">
      <x:c r="N1165" s="58"/>
    </x:row>
    <x:row r="1166">
      <x:c r="N1166" s="58"/>
    </x:row>
    <x:row r="1167">
      <x:c r="N1167" s="58"/>
    </x:row>
    <x:row r="1168">
      <x:c r="N1168" s="58"/>
    </x:row>
    <x:row r="1169">
      <x:c r="N1169" s="58"/>
    </x:row>
    <x:row r="1170">
      <x:c r="N1170" s="58"/>
    </x:row>
    <x:row r="1171">
      <x:c r="N1171" s="58"/>
    </x:row>
    <x:row r="1172">
      <x:c r="N1172" s="58"/>
    </x:row>
    <x:row r="1173">
      <x:c r="N1173" s="58"/>
    </x:row>
    <x:row r="1174">
      <x:c r="N1174" s="58"/>
    </x:row>
    <x:row r="1175">
      <x:c r="N1175" s="58"/>
    </x:row>
    <x:row r="1176">
      <x:c r="N1176" s="58"/>
    </x:row>
    <x:row r="1177">
      <x:c r="N1177" s="58"/>
    </x:row>
    <x:row r="1178">
      <x:c r="N1178" s="58"/>
    </x:row>
    <x:row r="1179">
      <x:c r="N1179" s="58"/>
    </x:row>
    <x:row r="1180">
      <x:c r="N1180" s="58"/>
    </x:row>
    <x:row r="1181">
      <x:c r="N1181" s="58"/>
    </x:row>
    <x:row r="1182">
      <x:c r="N1182" s="58"/>
    </x:row>
    <x:row r="1183">
      <x:c r="N1183" s="58"/>
    </x:row>
    <x:row r="1184">
      <x:c r="N1184" s="58"/>
    </x:row>
    <x:row r="1185">
      <x:c r="N1185" s="58"/>
    </x:row>
    <x:row r="1186">
      <x:c r="N1186" s="58"/>
    </x:row>
    <x:row r="1187">
      <x:c r="N1187" s="58"/>
    </x:row>
    <x:row r="1188">
      <x:c r="N1188" s="58"/>
    </x:row>
    <x:row r="1189">
      <x:c r="N1189" s="58"/>
    </x:row>
    <x:row r="1190">
      <x:c r="N1190" s="58"/>
    </x:row>
    <x:row r="1191">
      <x:c r="N1191" s="58"/>
    </x:row>
    <x:row r="1192">
      <x:c r="N1192" s="58"/>
    </x:row>
    <x:row r="1193">
      <x:c r="N1193" s="58"/>
    </x:row>
    <x:row r="1194">
      <x:c r="N1194" s="58"/>
    </x:row>
    <x:row r="1195">
      <x:c r="N1195" s="58"/>
    </x:row>
    <x:row r="1196">
      <x:c r="N1196" s="58"/>
    </x:row>
    <x:row r="1197">
      <x:c r="N1197" s="58"/>
    </x:row>
    <x:row r="1198">
      <x:c r="N1198" s="58"/>
    </x:row>
    <x:row r="1199">
      <x:c r="N1199" s="58"/>
    </x:row>
    <x:row r="1200">
      <x:c r="N1200" s="58"/>
    </x:row>
    <x:row r="1201">
      <x:c r="N1201" s="58"/>
    </x:row>
    <x:row r="1202">
      <x:c r="N1202" s="58"/>
    </x:row>
    <x:row r="1203">
      <x:c r="N1203" s="58"/>
    </x:row>
    <x:row r="1204">
      <x:c r="N1204" s="58"/>
    </x:row>
    <x:row r="1205">
      <x:c r="N1205" s="58"/>
    </x:row>
    <x:row r="1206">
      <x:c r="N1206" s="58"/>
    </x:row>
    <x:row r="1207">
      <x:c r="N1207" s="58"/>
    </x:row>
    <x:row r="1208">
      <x:c r="N1208" s="58"/>
    </x:row>
    <x:row r="1209">
      <x:c r="N1209" s="58"/>
    </x:row>
    <x:row r="1210">
      <x:c r="N1210" s="58"/>
    </x:row>
    <x:row r="1211">
      <x:c r="N1211" s="58"/>
    </x:row>
    <x:row r="1212">
      <x:c r="N1212" s="58"/>
    </x:row>
    <x:row r="1213">
      <x:c r="N1213" s="58"/>
    </x:row>
    <x:row r="1214">
      <x:c r="N1214" s="58"/>
    </x:row>
    <x:row r="1215">
      <x:c r="N1215" s="58"/>
    </x:row>
    <x:row r="1216">
      <x:c r="N1216" s="58"/>
    </x:row>
    <x:row r="1217">
      <x:c r="N1217" s="58"/>
    </x:row>
    <x:row r="1218">
      <x:c r="N1218" s="58"/>
    </x:row>
    <x:row r="1219">
      <x:c r="N1219" s="58"/>
    </x:row>
    <x:row r="1220">
      <x:c r="N1220" s="58"/>
    </x:row>
    <x:row r="1221">
      <x:c r="N1221" s="58"/>
    </x:row>
    <x:row r="1222">
      <x:c r="N1222" s="58"/>
    </x:row>
    <x:row r="1223">
      <x:c r="N1223" s="58"/>
    </x:row>
    <x:row r="1224">
      <x:c r="N1224" s="58"/>
    </x:row>
    <x:row r="1225">
      <x:c r="N1225" s="58"/>
    </x:row>
    <x:row r="1226">
      <x:c r="N1226" s="58"/>
    </x:row>
    <x:row r="1227">
      <x:c r="N1227" s="58"/>
    </x:row>
    <x:row r="1228">
      <x:c r="N1228" s="58"/>
    </x:row>
    <x:row r="1229">
      <x:c r="N1229" s="58"/>
    </x:row>
    <x:row r="1230">
      <x:c r="N1230" s="58"/>
    </x:row>
    <x:row r="1231">
      <x:c r="N1231" s="58"/>
    </x:row>
    <x:row r="1232">
      <x:c r="N1232" s="58"/>
    </x:row>
    <x:row r="1233">
      <x:c r="N1233" s="58"/>
    </x:row>
    <x:row r="1234">
      <x:c r="N1234" s="58"/>
    </x:row>
    <x:row r="1235">
      <x:c r="N1235" s="58"/>
    </x:row>
    <x:row r="1236">
      <x:c r="N1236" s="58"/>
    </x:row>
    <x:row r="1237">
      <x:c r="N1237" s="58"/>
    </x:row>
    <x:row r="1238">
      <x:c r="N1238" s="58"/>
    </x:row>
    <x:row r="1239">
      <x:c r="N1239" s="58"/>
    </x:row>
    <x:row r="1240">
      <x:c r="N1240" s="58"/>
    </x:row>
    <x:row r="1241">
      <x:c r="N1241" s="58"/>
    </x:row>
    <x:row r="1242">
      <x:c r="N1242" s="58"/>
    </x:row>
    <x:row r="1243">
      <x:c r="N1243" s="58"/>
    </x:row>
    <x:row r="1244">
      <x:c r="N1244" s="58"/>
    </x:row>
    <x:row r="1245">
      <x:c r="N1245" s="58"/>
    </x:row>
    <x:row r="1246">
      <x:c r="N1246" s="58"/>
    </x:row>
    <x:row r="1247">
      <x:c r="N1247" s="58"/>
    </x:row>
    <x:row r="1248">
      <x:c r="N1248" s="58"/>
    </x:row>
    <x:row r="1249">
      <x:c r="N1249" s="58"/>
    </x:row>
    <x:row r="1250">
      <x:c r="N1250" s="58"/>
    </x:row>
    <x:row r="1251">
      <x:c r="N1251" s="58"/>
    </x:row>
    <x:row r="1252">
      <x:c r="N1252" s="58"/>
    </x:row>
    <x:row r="1253">
      <x:c r="N1253" s="58"/>
    </x:row>
    <x:row r="1254">
      <x:c r="N1254" s="58"/>
    </x:row>
    <x:row r="1255">
      <x:c r="N1255" s="58"/>
    </x:row>
    <x:row r="1256">
      <x:c r="N1256" s="58"/>
    </x:row>
    <x:row r="1257">
      <x:c r="N1257" s="58"/>
    </x:row>
    <x:row r="1258">
      <x:c r="N1258" s="58"/>
    </x:row>
    <x:row r="1259">
      <x:c r="N1259" s="58"/>
    </x:row>
    <x:row r="1260">
      <x:c r="N1260" s="58"/>
    </x:row>
    <x:row r="1261">
      <x:c r="N1261" s="58"/>
    </x:row>
    <x:row r="1262">
      <x:c r="N1262" s="58"/>
    </x:row>
    <x:row r="1263">
      <x:c r="N1263" s="58"/>
    </x:row>
    <x:row r="1264">
      <x:c r="N1264" s="58"/>
    </x:row>
    <x:row r="1265">
      <x:c r="N1265" s="58"/>
    </x:row>
    <x:row r="1266">
      <x:c r="N1266" s="58"/>
    </x:row>
    <x:row r="1267">
      <x:c r="N1267" s="58"/>
    </x:row>
    <x:row r="1268">
      <x:c r="N1268" s="58"/>
    </x:row>
    <x:row r="1269">
      <x:c r="N1269" s="58"/>
    </x:row>
    <x:row r="1270">
      <x:c r="N1270" s="58"/>
    </x:row>
    <x:row r="1271">
      <x:c r="N1271" s="58"/>
    </x:row>
    <x:row r="1272">
      <x:c r="N1272" s="58"/>
    </x:row>
    <x:row r="1273">
      <x:c r="N1273" s="58"/>
    </x:row>
    <x:row r="1274">
      <x:c r="N1274" s="58"/>
    </x:row>
    <x:row r="1275">
      <x:c r="N1275" s="58"/>
    </x:row>
    <x:row r="1276">
      <x:c r="N1276" s="58"/>
    </x:row>
    <x:row r="1277">
      <x:c r="N1277" s="58"/>
    </x:row>
    <x:row r="1278">
      <x:c r="N1278" s="58"/>
    </x:row>
    <x:row r="1279">
      <x:c r="N1279" s="58"/>
    </x:row>
    <x:row r="1280">
      <x:c r="N1280" s="58"/>
    </x:row>
    <x:row r="1281">
      <x:c r="N1281" s="58"/>
    </x:row>
    <x:row r="1282">
      <x:c r="N1282" s="58"/>
    </x:row>
    <x:row r="1283">
      <x:c r="N1283" s="58"/>
    </x:row>
    <x:row r="1284">
      <x:c r="N1284" s="58"/>
    </x:row>
    <x:row r="1285">
      <x:c r="N1285" s="58"/>
    </x:row>
    <x:row r="1286">
      <x:c r="N1286" s="58"/>
    </x:row>
    <x:row r="1287">
      <x:c r="N1287" s="58"/>
    </x:row>
    <x:row r="1288">
      <x:c r="N1288" s="58"/>
    </x:row>
    <x:row r="1289">
      <x:c r="N1289" s="58"/>
    </x:row>
    <x:row r="1290">
      <x:c r="N1290" s="58"/>
    </x:row>
    <x:row r="1291">
      <x:c r="N1291" s="58"/>
    </x:row>
    <x:row r="1292">
      <x:c r="N1292" s="58"/>
    </x:row>
    <x:row r="1293">
      <x:c r="N1293" s="58"/>
    </x:row>
    <x:row r="1294">
      <x:c r="N1294" s="58"/>
    </x:row>
    <x:row r="1295">
      <x:c r="N1295" s="58"/>
    </x:row>
    <x:row r="1296">
      <x:c r="N1296" s="58"/>
    </x:row>
    <x:row r="1297">
      <x:c r="N1297" s="58"/>
    </x:row>
    <x:row r="1298">
      <x:c r="N1298" s="58"/>
    </x:row>
    <x:row r="1299">
      <x:c r="N1299" s="58"/>
    </x:row>
    <x:row r="1300">
      <x:c r="N1300" s="58"/>
    </x:row>
    <x:row r="1301">
      <x:c r="N1301" s="58"/>
    </x:row>
    <x:row r="1302">
      <x:c r="N1302" s="58"/>
    </x:row>
    <x:row r="1303">
      <x:c r="N1303" s="58"/>
    </x:row>
    <x:row r="1304">
      <x:c r="N1304" s="58"/>
    </x:row>
    <x:row r="1305">
      <x:c r="N1305" s="58"/>
    </x:row>
    <x:row r="1306">
      <x:c r="N1306" s="58"/>
    </x:row>
    <x:row r="1307">
      <x:c r="N1307" s="58"/>
    </x:row>
    <x:row r="1308">
      <x:c r="N1308" s="58"/>
    </x:row>
    <x:row r="1309">
      <x:c r="N1309" s="58"/>
    </x:row>
    <x:row r="1310">
      <x:c r="N1310" s="58"/>
    </x:row>
    <x:row r="1311">
      <x:c r="N1311" s="58"/>
    </x:row>
    <x:row r="1312">
      <x:c r="N1312" s="58"/>
    </x:row>
    <x:row r="1313">
      <x:c r="N1313" s="58"/>
    </x:row>
    <x:row r="1314">
      <x:c r="N1314" s="58"/>
    </x:row>
    <x:row r="1315">
      <x:c r="N1315" s="58"/>
    </x:row>
    <x:row r="1316">
      <x:c r="N1316" s="58"/>
    </x:row>
    <x:row r="1317">
      <x:c r="N1317" s="58"/>
    </x:row>
    <x:row r="1318">
      <x:c r="N1318" s="58"/>
    </x:row>
    <x:row r="1319">
      <x:c r="N1319" s="58"/>
    </x:row>
    <x:row r="1320">
      <x:c r="N1320" s="58"/>
    </x:row>
    <x:row r="1321">
      <x:c r="N1321" s="58"/>
    </x:row>
    <x:row r="1322">
      <x:c r="N1322" s="58"/>
    </x:row>
    <x:row r="1323">
      <x:c r="N1323" s="58"/>
    </x:row>
    <x:row r="1324">
      <x:c r="N1324" s="58"/>
    </x:row>
    <x:row r="1325">
      <x:c r="N1325" s="58"/>
    </x:row>
    <x:row r="1326">
      <x:c r="N1326" s="58"/>
    </x:row>
    <x:row r="1327">
      <x:c r="N1327" s="58"/>
    </x:row>
    <x:row r="1328">
      <x:c r="N1328" s="58"/>
    </x:row>
    <x:row r="1329">
      <x:c r="N1329" s="58"/>
    </x:row>
    <x:row r="1330">
      <x:c r="N1330" s="58"/>
    </x:row>
    <x:row r="1331">
      <x:c r="N1331" s="58"/>
    </x:row>
    <x:row r="1332">
      <x:c r="N1332" s="58"/>
    </x:row>
    <x:row r="1333">
      <x:c r="N1333" s="58"/>
    </x:row>
    <x:row r="1334">
      <x:c r="N1334" s="58"/>
    </x:row>
    <x:row r="1335">
      <x:c r="N1335" s="58"/>
    </x:row>
    <x:row r="1336">
      <x:c r="N1336" s="58"/>
    </x:row>
    <x:row r="1337">
      <x:c r="N1337" s="58"/>
    </x:row>
    <x:row r="1338">
      <x:c r="N1338" s="58"/>
    </x:row>
    <x:row r="1339">
      <x:c r="N1339" s="58"/>
    </x:row>
    <x:row r="1340">
      <x:c r="N1340" s="58"/>
    </x:row>
    <x:row r="1341">
      <x:c r="N1341" s="58"/>
    </x:row>
    <x:row r="1342">
      <x:c r="N1342" s="58"/>
    </x:row>
    <x:row r="1343">
      <x:c r="N1343" s="58"/>
    </x:row>
    <x:row r="1344">
      <x:c r="N1344" s="58"/>
    </x:row>
    <x:row r="1345">
      <x:c r="N1345" s="58"/>
    </x:row>
    <x:row r="1346">
      <x:c r="N1346" s="58"/>
    </x:row>
    <x:row r="1347">
      <x:c r="N1347" s="58"/>
    </x:row>
    <x:row r="1348">
      <x:c r="N1348" s="58"/>
    </x:row>
    <x:row r="1349">
      <x:c r="N1349" s="58"/>
    </x:row>
    <x:row r="1350">
      <x:c r="N1350" s="58"/>
    </x:row>
    <x:row r="1351">
      <x:c r="N1351" s="58"/>
    </x:row>
    <x:row r="1352">
      <x:c r="N1352" s="58"/>
    </x:row>
    <x:row r="1353">
      <x:c r="N1353" s="58"/>
    </x:row>
    <x:row r="1354">
      <x:c r="N1354" s="58"/>
    </x:row>
    <x:row r="1355">
      <x:c r="N1355" s="58"/>
    </x:row>
    <x:row r="1356">
      <x:c r="N1356" s="58"/>
    </x:row>
    <x:row r="1357">
      <x:c r="N1357" s="58"/>
    </x:row>
    <x:row r="1358">
      <x:c r="N1358" s="58"/>
    </x:row>
    <x:row r="1359">
      <x:c r="N1359" s="58"/>
    </x:row>
    <x:row r="1360">
      <x:c r="N1360" s="58"/>
    </x:row>
    <x:row r="1361">
      <x:c r="N1361" s="58"/>
    </x:row>
    <x:row r="1362">
      <x:c r="N1362" s="58"/>
    </x:row>
    <x:row r="1363">
      <x:c r="N1363" s="58"/>
    </x:row>
    <x:row r="1364">
      <x:c r="N1364" s="58"/>
    </x:row>
    <x:row r="1365">
      <x:c r="N1365" s="58"/>
    </x:row>
    <x:row r="1366">
      <x:c r="N1366" s="58"/>
    </x:row>
    <x:row r="1367">
      <x:c r="N1367" s="58"/>
    </x:row>
    <x:row r="1368">
      <x:c r="N1368" s="58"/>
    </x:row>
    <x:row r="1369">
      <x:c r="N1369" s="58"/>
    </x:row>
    <x:row r="1370">
      <x:c r="N1370" s="58"/>
    </x:row>
    <x:row r="1371">
      <x:c r="N1371" s="58"/>
    </x:row>
    <x:row r="1372">
      <x:c r="N1372" s="58"/>
    </x:row>
    <x:row r="1373">
      <x:c r="N1373" s="58"/>
    </x:row>
    <x:row r="1374">
      <x:c r="N1374" s="58"/>
    </x:row>
    <x:row r="1375">
      <x:c r="N1375" s="58"/>
    </x:row>
    <x:row r="1376">
      <x:c r="N1376" s="58"/>
    </x:row>
    <x:row r="1377">
      <x:c r="N1377" s="58"/>
    </x:row>
    <x:row r="1378">
      <x:c r="N1378" s="58"/>
    </x:row>
    <x:row r="1379">
      <x:c r="N1379" s="58"/>
    </x:row>
    <x:row r="1380">
      <x:c r="N1380" s="58"/>
    </x:row>
    <x:row r="1381">
      <x:c r="N1381" s="58"/>
    </x:row>
    <x:row r="1382">
      <x:c r="N1382" s="58"/>
    </x:row>
    <x:row r="1383">
      <x:c r="N1383" s="58"/>
    </x:row>
    <x:row r="1384">
      <x:c r="N1384" s="58"/>
    </x:row>
    <x:row r="1385">
      <x:c r="N1385" s="58"/>
    </x:row>
    <x:row r="1386">
      <x:c r="N1386" s="58"/>
    </x:row>
    <x:row r="1387">
      <x:c r="N1387" s="58"/>
    </x:row>
    <x:row r="1388">
      <x:c r="N1388" s="58"/>
    </x:row>
    <x:row r="1389">
      <x:c r="N1389" s="58"/>
    </x:row>
    <x:row r="1390">
      <x:c r="N1390" s="58"/>
    </x:row>
    <x:row r="1391">
      <x:c r="N1391" s="58"/>
    </x:row>
    <x:row r="1392">
      <x:c r="N1392" s="58"/>
    </x:row>
    <x:row r="1393">
      <x:c r="N1393" s="58"/>
    </x:row>
    <x:row r="1394">
      <x:c r="N1394" s="58"/>
    </x:row>
    <x:row r="1395">
      <x:c r="N1395" s="58"/>
    </x:row>
    <x:row r="1396">
      <x:c r="N1396" s="58"/>
    </x:row>
    <x:row r="1397">
      <x:c r="N1397" s="58"/>
    </x:row>
    <x:row r="1398">
      <x:c r="N1398" s="58"/>
    </x:row>
    <x:row r="1399">
      <x:c r="N1399" s="58"/>
    </x:row>
    <x:row r="1400">
      <x:c r="N1400" s="58"/>
    </x:row>
    <x:row r="1401">
      <x:c r="N1401" s="58"/>
    </x:row>
    <x:row r="1402">
      <x:c r="N1402" s="58"/>
    </x:row>
    <x:row r="1403">
      <x:c r="N1403" s="58"/>
    </x:row>
    <x:row r="1404">
      <x:c r="N1404" s="58"/>
    </x:row>
    <x:row r="1405">
      <x:c r="N1405" s="58"/>
    </x:row>
    <x:row r="1406">
      <x:c r="N1406" s="58"/>
    </x:row>
    <x:row r="1407">
      <x:c r="N1407" s="58"/>
    </x:row>
    <x:row r="1408">
      <x:c r="N1408" s="58"/>
    </x:row>
    <x:row r="1409">
      <x:c r="N1409" s="58"/>
    </x:row>
    <x:row r="1410">
      <x:c r="N1410" s="58"/>
    </x:row>
    <x:row r="1411">
      <x:c r="N1411" s="58"/>
    </x:row>
    <x:row r="1412">
      <x:c r="N1412" s="58"/>
    </x:row>
    <x:row r="1413">
      <x:c r="N1413" s="58"/>
    </x:row>
    <x:row r="1414">
      <x:c r="N1414" s="58"/>
    </x:row>
    <x:row r="1415">
      <x:c r="N1415" s="58"/>
    </x:row>
    <x:row r="1416">
      <x:c r="N1416" s="58"/>
    </x:row>
    <x:row r="1417">
      <x:c r="N1417" s="58"/>
    </x:row>
    <x:row r="1418">
      <x:c r="N1418" s="58"/>
    </x:row>
    <x:row r="1419">
      <x:c r="N1419" s="58"/>
    </x:row>
    <x:row r="1420">
      <x:c r="N1420" s="58"/>
    </x:row>
    <x:row r="1421">
      <x:c r="N1421" s="58"/>
    </x:row>
    <x:row r="1422">
      <x:c r="N1422" s="58"/>
    </x:row>
    <x:row r="1423">
      <x:c r="N1423" s="58"/>
    </x:row>
    <x:row r="1424">
      <x:c r="N1424" s="58"/>
    </x:row>
    <x:row r="1425">
      <x:c r="N1425" s="58"/>
    </x:row>
    <x:row r="1426">
      <x:c r="N1426" s="58"/>
    </x:row>
    <x:row r="1427">
      <x:c r="N1427" s="58"/>
    </x:row>
    <x:row r="1428">
      <x:c r="N1428" s="58"/>
    </x:row>
    <x:row r="1429">
      <x:c r="N1429" s="58"/>
    </x:row>
    <x:row r="1430">
      <x:c r="N1430" s="58"/>
    </x:row>
    <x:row r="1431">
      <x:c r="N1431" s="58"/>
    </x:row>
    <x:row r="1432">
      <x:c r="N1432" s="58"/>
    </x:row>
    <x:row r="1433">
      <x:c r="N1433" s="58"/>
    </x:row>
    <x:row r="1434">
      <x:c r="N1434" s="58"/>
    </x:row>
    <x:row r="1435">
      <x:c r="N1435" s="58"/>
    </x:row>
    <x:row r="1436">
      <x:c r="N1436" s="58"/>
    </x:row>
    <x:row r="1437">
      <x:c r="N1437" s="58"/>
    </x:row>
    <x:row r="1438">
      <x:c r="N1438" s="58"/>
    </x:row>
    <x:row r="1439">
      <x:c r="N1439" s="58"/>
    </x:row>
    <x:row r="1440">
      <x:c r="N1440" s="58"/>
    </x:row>
    <x:row r="1441">
      <x:c r="N1441" s="58"/>
    </x:row>
    <x:row r="1442">
      <x:c r="N1442" s="58"/>
    </x:row>
    <x:row r="1443">
      <x:c r="N1443" s="58"/>
    </x:row>
    <x:row r="1444">
      <x:c r="N1444" s="58"/>
    </x:row>
    <x:row r="1445">
      <x:c r="N1445" s="58"/>
    </x:row>
    <x:row r="1446">
      <x:c r="N1446" s="58"/>
    </x:row>
    <x:row r="1447">
      <x:c r="N1447" s="58"/>
    </x:row>
    <x:row r="1448">
      <x:c r="N1448" s="58"/>
    </x:row>
    <x:row r="1449">
      <x:c r="N1449" s="58"/>
    </x:row>
    <x:row r="1450">
      <x:c r="N1450" s="58"/>
    </x:row>
    <x:row r="1451">
      <x:c r="N1451" s="58"/>
    </x:row>
    <x:row r="1452">
      <x:c r="N1452" s="58"/>
    </x:row>
    <x:row r="1453">
      <x:c r="N1453" s="58"/>
    </x:row>
    <x:row r="1454">
      <x:c r="N1454" s="58"/>
    </x:row>
    <x:row r="1455">
      <x:c r="N1455" s="58"/>
    </x:row>
    <x:row r="1456">
      <x:c r="N1456" s="58"/>
    </x:row>
    <x:row r="1457">
      <x:c r="N1457" s="58"/>
    </x:row>
    <x:row r="1458">
      <x:c r="N1458" s="58"/>
    </x:row>
    <x:row r="1459">
      <x:c r="N1459" s="58"/>
    </x:row>
    <x:row r="1460">
      <x:c r="N1460" s="58"/>
    </x:row>
    <x:row r="1461">
      <x:c r="N1461" s="58"/>
    </x:row>
    <x:row r="1462">
      <x:c r="N1462" s="58"/>
    </x:row>
    <x:row r="1463">
      <x:c r="N1463" s="58"/>
    </x:row>
    <x:row r="1464">
      <x:c r="N1464" s="58"/>
    </x:row>
    <x:row r="1465">
      <x:c r="N1465" s="58"/>
    </x:row>
    <x:row r="1466">
      <x:c r="N1466" s="58"/>
    </x:row>
    <x:row r="1467">
      <x:c r="N1467" s="58"/>
    </x:row>
    <x:row r="1468">
      <x:c r="N1468" s="58"/>
    </x:row>
    <x:row r="1469">
      <x:c r="N1469" s="58"/>
    </x:row>
    <x:row r="1470">
      <x:c r="N1470" s="58"/>
    </x:row>
    <x:row r="1471">
      <x:c r="N1471" s="58"/>
    </x:row>
    <x:row r="1472">
      <x:c r="N1472" s="58"/>
    </x:row>
    <x:row r="1473">
      <x:c r="N1473" s="58"/>
    </x:row>
    <x:row r="1474">
      <x:c r="N1474" s="58"/>
    </x:row>
    <x:row r="1475">
      <x:c r="N1475" s="58"/>
    </x:row>
    <x:row r="1476">
      <x:c r="N1476" s="58"/>
    </x:row>
    <x:row r="1477">
      <x:c r="N1477" s="58"/>
    </x:row>
    <x:row r="1478">
      <x:c r="N1478" s="58"/>
    </x:row>
    <x:row r="1479">
      <x:c r="N1479" s="58"/>
    </x:row>
    <x:row r="1480">
      <x:c r="N1480" s="58"/>
    </x:row>
    <x:row r="1481">
      <x:c r="N1481" s="58"/>
    </x:row>
    <x:row r="1482">
      <x:c r="N1482" s="58"/>
    </x:row>
    <x:row r="1483">
      <x:c r="N1483" s="58"/>
    </x:row>
    <x:row r="1484">
      <x:c r="N1484" s="58"/>
    </x:row>
    <x:row r="1485">
      <x:c r="N1485" s="58"/>
    </x:row>
    <x:row r="1486">
      <x:c r="N1486" s="58"/>
    </x:row>
    <x:row r="1487">
      <x:c r="N1487" s="58"/>
    </x:row>
    <x:row r="1488">
      <x:c r="N1488" s="58"/>
    </x:row>
    <x:row r="1489">
      <x:c r="N1489" s="58"/>
    </x:row>
    <x:row r="1490">
      <x:c r="N1490" s="58"/>
    </x:row>
    <x:row r="1491">
      <x:c r="N1491" s="58"/>
    </x:row>
    <x:row r="1492">
      <x:c r="N1492" s="58"/>
    </x:row>
    <x:row r="1493">
      <x:c r="N1493" s="58"/>
    </x:row>
    <x:row r="1494">
      <x:c r="N1494" s="58"/>
    </x:row>
    <x:row r="1495">
      <x:c r="N1495" s="58"/>
    </x:row>
    <x:row r="1496">
      <x:c r="N1496" s="58"/>
    </x:row>
    <x:row r="1497">
      <x:c r="N1497" s="58"/>
    </x:row>
    <x:row r="1498">
      <x:c r="N1498" s="58"/>
    </x:row>
    <x:row r="1499">
      <x:c r="N1499" s="58"/>
    </x:row>
    <x:row r="1500">
      <x:c r="N1500" s="58"/>
    </x:row>
    <x:row r="1501">
      <x:c r="N1501" s="58"/>
    </x:row>
    <x:row r="1502">
      <x:c r="N1502" s="58"/>
    </x:row>
    <x:row r="1503">
      <x:c r="N1503" s="58"/>
    </x:row>
    <x:row r="1504">
      <x:c r="N1504" s="58"/>
    </x:row>
    <x:row r="1505">
      <x:c r="N1505" s="58"/>
    </x:row>
    <x:row r="1506">
      <x:c r="N1506" s="58"/>
    </x:row>
    <x:row r="1507">
      <x:c r="N1507" s="58"/>
    </x:row>
    <x:row r="1508">
      <x:c r="N1508" s="58"/>
    </x:row>
    <x:row r="1509">
      <x:c r="N1509" s="58"/>
    </x:row>
    <x:row r="1510">
      <x:c r="N1510" s="58"/>
    </x:row>
    <x:row r="1511">
      <x:c r="N1511" s="58"/>
    </x:row>
    <x:row r="1512">
      <x:c r="N1512" s="58"/>
    </x:row>
    <x:row r="1513">
      <x:c r="N1513" s="58"/>
    </x:row>
    <x:row r="1514">
      <x:c r="N1514" s="58"/>
    </x:row>
    <x:row r="1515">
      <x:c r="N1515" s="58"/>
    </x:row>
    <x:row r="1516">
      <x:c r="N1516" s="58"/>
    </x:row>
    <x:row r="1517">
      <x:c r="N1517" s="58"/>
    </x:row>
    <x:row r="1518">
      <x:c r="N1518" s="58"/>
    </x:row>
    <x:row r="1519">
      <x:c r="N1519" s="58"/>
    </x:row>
    <x:row r="1520">
      <x:c r="N1520" s="58"/>
    </x:row>
    <x:row r="1521">
      <x:c r="N1521" s="58"/>
    </x:row>
    <x:row r="1522">
      <x:c r="N1522" s="58"/>
    </x:row>
    <x:row r="1523">
      <x:c r="N1523" s="58"/>
    </x:row>
    <x:row r="1524">
      <x:c r="N1524" s="58"/>
    </x:row>
    <x:row r="1525">
      <x:c r="N1525" s="58"/>
    </x:row>
    <x:row r="1526">
      <x:c r="N1526" s="58"/>
    </x:row>
    <x:row r="1527">
      <x:c r="N1527" s="58"/>
    </x:row>
    <x:row r="1528">
      <x:c r="N1528" s="58"/>
    </x:row>
    <x:row r="1529">
      <x:c r="N1529" s="58"/>
    </x:row>
    <x:row r="1530">
      <x:c r="N1530" s="58"/>
    </x:row>
    <x:row r="1531">
      <x:c r="N1531" s="58"/>
    </x:row>
    <x:row r="1532">
      <x:c r="N1532" s="58"/>
    </x:row>
    <x:row r="1533">
      <x:c r="N1533" s="58"/>
    </x:row>
    <x:row r="1534">
      <x:c r="N1534" s="58"/>
    </x:row>
    <x:row r="1535">
      <x:c r="N1535" s="58"/>
    </x:row>
    <x:row r="1536">
      <x:c r="N1536" s="58"/>
    </x:row>
    <x:row r="1537">
      <x:c r="N1537" s="58"/>
    </x:row>
    <x:row r="1538">
      <x:c r="N1538" s="58"/>
    </x:row>
    <x:row r="1539">
      <x:c r="N1539" s="58"/>
    </x:row>
    <x:row r="1540">
      <x:c r="N1540" s="58"/>
    </x:row>
    <x:row r="1541">
      <x:c r="N1541" s="58"/>
    </x:row>
    <x:row r="1542">
      <x:c r="N1542" s="58"/>
    </x:row>
    <x:row r="1543">
      <x:c r="N1543" s="58"/>
    </x:row>
    <x:row r="1544">
      <x:c r="N1544" s="58"/>
    </x:row>
    <x:row r="1545">
      <x:c r="N1545" s="58"/>
    </x:row>
    <x:row r="1546">
      <x:c r="N1546" s="58"/>
    </x:row>
    <x:row r="1547">
      <x:c r="N1547" s="58"/>
    </x:row>
    <x:row r="1548">
      <x:c r="N1548" s="58"/>
    </x:row>
    <x:row r="1549">
      <x:c r="N1549" s="58"/>
    </x:row>
    <x:row r="1550">
      <x:c r="N1550" s="58"/>
    </x:row>
    <x:row r="1551">
      <x:c r="N1551" s="58"/>
    </x:row>
    <x:row r="1552">
      <x:c r="N1552" s="58"/>
    </x:row>
    <x:row r="1553">
      <x:c r="N1553" s="58"/>
    </x:row>
    <x:row r="1554">
      <x:c r="N1554" s="58"/>
    </x:row>
    <x:row r="1555">
      <x:c r="N1555" s="58"/>
    </x:row>
    <x:row r="1556">
      <x:c r="N1556" s="58"/>
    </x:row>
    <x:row r="1557">
      <x:c r="N1557" s="58"/>
    </x:row>
    <x:row r="1558">
      <x:c r="N1558" s="58"/>
    </x:row>
    <x:row r="1559">
      <x:c r="N1559" s="58"/>
    </x:row>
    <x:row r="1560">
      <x:c r="N1560" s="58"/>
    </x:row>
    <x:row r="1561">
      <x:c r="N1561" s="58"/>
    </x:row>
    <x:row r="1562">
      <x:c r="N1562" s="58"/>
    </x:row>
    <x:row r="1563">
      <x:c r="N1563" s="58"/>
    </x:row>
    <x:row r="1564">
      <x:c r="N1564" s="58"/>
    </x:row>
    <x:row r="1565">
      <x:c r="N1565" s="58"/>
    </x:row>
    <x:row r="1566">
      <x:c r="N1566" s="58"/>
    </x:row>
    <x:row r="1567">
      <x:c r="N1567" s="58"/>
    </x:row>
    <x:row r="1568">
      <x:c r="N1568" s="58"/>
    </x:row>
    <x:row r="1569">
      <x:c r="N1569" s="58"/>
    </x:row>
    <x:row r="1570">
      <x:c r="N1570" s="58"/>
    </x:row>
    <x:row r="1571">
      <x:c r="N1571" s="58"/>
    </x:row>
    <x:row r="1572">
      <x:c r="N1572" s="58"/>
    </x:row>
    <x:row r="1573">
      <x:c r="N1573" s="58"/>
    </x:row>
    <x:row r="1574">
      <x:c r="N1574" s="58"/>
    </x:row>
    <x:row r="1575">
      <x:c r="N1575" s="58"/>
    </x:row>
    <x:row r="1576">
      <x:c r="N1576" s="58"/>
    </x:row>
    <x:row r="1577">
      <x:c r="N1577" s="58"/>
    </x:row>
    <x:row r="1578">
      <x:c r="N1578" s="58"/>
    </x:row>
    <x:row r="1579">
      <x:c r="N1579" s="58"/>
    </x:row>
    <x:row r="1580">
      <x:c r="N1580" s="58"/>
    </x:row>
    <x:row r="1581">
      <x:c r="N1581" s="58"/>
    </x:row>
    <x:row r="1582">
      <x:c r="N1582" s="58"/>
    </x:row>
    <x:row r="1583">
      <x:c r="N1583" s="58"/>
    </x:row>
    <x:row r="1584">
      <x:c r="N1584" s="58"/>
    </x:row>
    <x:row r="1585">
      <x:c r="N1585" s="58"/>
    </x:row>
    <x:row r="1586">
      <x:c r="N1586" s="58"/>
    </x:row>
    <x:row r="1587">
      <x:c r="N1587" s="58"/>
    </x:row>
    <x:row r="1588">
      <x:c r="N1588" s="58"/>
    </x:row>
    <x:row r="1589">
      <x:c r="N1589" s="58"/>
    </x:row>
    <x:row r="1590">
      <x:c r="N1590" s="58"/>
    </x:row>
    <x:row r="1591">
      <x:c r="N1591" s="58"/>
    </x:row>
    <x:row r="1592">
      <x:c r="N1592" s="58"/>
    </x:row>
    <x:row r="1593">
      <x:c r="N1593" s="58"/>
    </x:row>
    <x:row r="1594">
      <x:c r="N1594" s="58"/>
    </x:row>
    <x:row r="1595">
      <x:c r="N1595" s="58"/>
    </x:row>
    <x:row r="1596">
      <x:c r="N1596" s="58"/>
    </x:row>
    <x:row r="1597">
      <x:c r="N1597" s="58"/>
    </x:row>
    <x:row r="1598">
      <x:c r="N1598" s="58"/>
    </x:row>
    <x:row r="1599">
      <x:c r="N1599" s="58"/>
    </x:row>
    <x:row r="1600">
      <x:c r="N1600" s="58"/>
    </x:row>
    <x:row r="1601">
      <x:c r="N1601" s="58"/>
    </x:row>
    <x:row r="1602">
      <x:c r="N1602" s="58"/>
    </x:row>
    <x:row r="1603">
      <x:c r="N1603" s="58"/>
    </x:row>
    <x:row r="1604">
      <x:c r="N1604" s="58"/>
    </x:row>
    <x:row r="1605">
      <x:c r="N1605" s="58"/>
    </x:row>
    <x:row r="1606">
      <x:c r="N1606" s="58"/>
    </x:row>
    <x:row r="1607">
      <x:c r="N1607" s="58"/>
    </x:row>
    <x:row r="1608">
      <x:c r="N1608" s="58"/>
    </x:row>
    <x:row r="1609">
      <x:c r="N1609" s="58"/>
    </x:row>
    <x:row r="1610">
      <x:c r="N1610" s="58"/>
    </x:row>
    <x:row r="1611">
      <x:c r="N1611" s="58"/>
    </x:row>
    <x:row r="1612">
      <x:c r="N1612" s="58"/>
    </x:row>
    <x:row r="1613">
      <x:c r="N1613" s="58"/>
    </x:row>
    <x:row r="1614">
      <x:c r="N1614" s="58"/>
    </x:row>
    <x:row r="1615">
      <x:c r="N1615" s="58"/>
    </x:row>
    <x:row r="1616">
      <x:c r="N1616" s="58"/>
    </x:row>
    <x:row r="1617">
      <x:c r="N1617" s="58"/>
    </x:row>
    <x:row r="1618">
      <x:c r="N1618" s="58"/>
    </x:row>
    <x:row r="1619">
      <x:c r="N1619" s="58"/>
    </x:row>
    <x:row r="1620">
      <x:c r="N1620" s="58"/>
    </x:row>
    <x:row r="1621">
      <x:c r="N1621" s="58"/>
    </x:row>
    <x:row r="1622">
      <x:c r="N1622" s="58"/>
    </x:row>
    <x:row r="1623">
      <x:c r="N1623" s="58"/>
    </x:row>
    <x:row r="1624">
      <x:c r="N1624" s="58"/>
    </x:row>
    <x:row r="1625">
      <x:c r="N1625" s="58"/>
    </x:row>
    <x:row r="1626">
      <x:c r="N1626" s="58"/>
    </x:row>
    <x:row r="1627">
      <x:c r="N1627" s="58"/>
    </x:row>
    <x:row r="1628">
      <x:c r="N1628" s="58"/>
    </x:row>
    <x:row r="1629">
      <x:c r="N1629" s="58"/>
    </x:row>
    <x:row r="1630">
      <x:c r="N1630" s="58"/>
    </x:row>
    <x:row r="1631">
      <x:c r="N1631" s="58"/>
    </x:row>
    <x:row r="1632">
      <x:c r="N1632" s="58"/>
    </x:row>
    <x:row r="1633">
      <x:c r="N1633" s="58"/>
    </x:row>
    <x:row r="1634">
      <x:c r="N1634" s="58"/>
    </x:row>
    <x:row r="1635">
      <x:c r="N1635" s="58"/>
    </x:row>
    <x:row r="1636">
      <x:c r="N1636" s="58"/>
    </x:row>
    <x:row r="1637">
      <x:c r="N1637" s="58"/>
    </x:row>
    <x:row r="1638">
      <x:c r="N1638" s="58"/>
    </x:row>
    <x:row r="1639">
      <x:c r="N1639" s="58"/>
    </x:row>
    <x:row r="1640">
      <x:c r="N1640" s="58"/>
    </x:row>
    <x:row r="1641">
      <x:c r="N1641" s="58"/>
    </x:row>
    <x:row r="1642">
      <x:c r="N1642" s="58"/>
    </x:row>
    <x:row r="1643">
      <x:c r="N1643" s="58"/>
    </x:row>
    <x:row r="1644">
      <x:c r="N1644" s="58"/>
    </x:row>
    <x:row r="1645">
      <x:c r="N1645" s="58"/>
    </x:row>
    <x:row r="1646">
      <x:c r="N1646" s="58"/>
    </x:row>
    <x:row r="1647">
      <x:c r="N1647" s="58"/>
    </x:row>
    <x:row r="1648">
      <x:c r="N1648" s="58"/>
    </x:row>
    <x:row r="1649">
      <x:c r="N1649" s="58"/>
    </x:row>
    <x:row r="1650">
      <x:c r="N1650" s="58"/>
    </x:row>
    <x:row r="1651">
      <x:c r="N1651" s="58"/>
    </x:row>
    <x:row r="1652">
      <x:c r="N1652" s="58"/>
    </x:row>
    <x:row r="1653">
      <x:c r="N1653" s="58"/>
    </x:row>
    <x:row r="1654">
      <x:c r="N1654" s="58"/>
    </x:row>
    <x:row r="1655">
      <x:c r="N1655" s="58"/>
    </x:row>
    <x:row r="1656">
      <x:c r="N1656" s="58"/>
    </x:row>
    <x:row r="1657">
      <x:c r="N1657" s="58"/>
    </x:row>
    <x:row r="1658">
      <x:c r="N1658" s="58"/>
    </x:row>
    <x:row r="1659">
      <x:c r="N1659" s="58"/>
    </x:row>
    <x:row r="1660">
      <x:c r="N1660" s="58"/>
    </x:row>
    <x:row r="1661">
      <x:c r="N1661" s="58"/>
    </x:row>
    <x:row r="1662">
      <x:c r="N1662" s="58"/>
    </x:row>
    <x:row r="1663">
      <x:c r="N1663" s="58"/>
    </x:row>
    <x:row r="1664">
      <x:c r="N1664" s="58"/>
    </x:row>
    <x:row r="1665">
      <x:c r="N1665" s="58"/>
    </x:row>
    <x:row r="1666">
      <x:c r="N1666" s="58"/>
    </x:row>
    <x:row r="1667">
      <x:c r="N1667" s="58"/>
    </x:row>
    <x:row r="1668">
      <x:c r="N1668" s="58"/>
    </x:row>
    <x:row r="1669">
      <x:c r="N1669" s="58"/>
    </x:row>
    <x:row r="1670">
      <x:c r="N1670" s="58"/>
    </x:row>
    <x:row r="1671">
      <x:c r="N1671" s="58"/>
    </x:row>
    <x:row r="1672">
      <x:c r="N1672" s="58"/>
    </x:row>
    <x:row r="1673">
      <x:c r="N1673" s="58"/>
    </x:row>
    <x:row r="1674">
      <x:c r="N1674" s="58"/>
    </x:row>
    <x:row r="1675">
      <x:c r="N1675" s="58"/>
    </x:row>
    <x:row r="1676">
      <x:c r="N1676" s="58"/>
    </x:row>
    <x:row r="1677">
      <x:c r="N1677" s="58"/>
    </x:row>
    <x:row r="1678">
      <x:c r="N1678" s="58"/>
    </x:row>
    <x:row r="1679">
      <x:c r="N1679" s="58"/>
    </x:row>
    <x:row r="1680">
      <x:c r="N1680" s="58"/>
    </x:row>
    <x:row r="1681">
      <x:c r="N1681" s="58"/>
    </x:row>
    <x:row r="1682">
      <x:c r="N1682" s="58"/>
    </x:row>
    <x:row r="1683">
      <x:c r="N1683" s="58"/>
    </x:row>
    <x:row r="1684">
      <x:c r="N1684" s="58"/>
    </x:row>
    <x:row r="1685">
      <x:c r="N1685" s="58"/>
    </x:row>
    <x:row r="1686">
      <x:c r="N1686" s="58"/>
    </x:row>
    <x:row r="1687">
      <x:c r="N1687" s="58"/>
    </x:row>
    <x:row r="1688">
      <x:c r="N1688" s="58"/>
    </x:row>
    <x:row r="1689">
      <x:c r="N1689" s="58"/>
    </x:row>
    <x:row r="1690">
      <x:c r="N1690" s="58"/>
    </x:row>
    <x:row r="1691">
      <x:c r="N1691" s="58"/>
    </x:row>
    <x:row r="1692">
      <x:c r="N1692" s="58"/>
    </x:row>
    <x:row r="1693">
      <x:c r="N1693" s="58"/>
    </x:row>
    <x:row r="1694">
      <x:c r="N1694" s="58"/>
    </x:row>
    <x:row r="1695">
      <x:c r="N1695" s="58"/>
    </x:row>
    <x:row r="1696">
      <x:c r="N1696" s="58"/>
    </x:row>
    <x:row r="1697">
      <x:c r="N1697" s="58"/>
    </x:row>
    <x:row r="1698">
      <x:c r="N1698" s="58"/>
    </x:row>
    <x:row r="1699">
      <x:c r="N1699" s="58"/>
    </x:row>
    <x:row r="1700">
      <x:c r="N1700" s="58"/>
    </x:row>
    <x:row r="1701">
      <x:c r="N1701" s="58"/>
    </x:row>
    <x:row r="1702">
      <x:c r="N1702" s="58"/>
    </x:row>
    <x:row r="1703">
      <x:c r="N1703" s="58"/>
    </x:row>
    <x:row r="1704">
      <x:c r="N1704" s="58"/>
    </x:row>
    <x:row r="1705">
      <x:c r="N1705" s="58"/>
    </x:row>
    <x:row r="1706">
      <x:c r="N1706" s="58"/>
    </x:row>
    <x:row r="1707">
      <x:c r="N1707" s="58"/>
    </x:row>
    <x:row r="1708">
      <x:c r="N1708" s="58"/>
    </x:row>
    <x:row r="1709">
      <x:c r="N1709" s="58"/>
    </x:row>
    <x:row r="1710">
      <x:c r="N1710" s="58"/>
    </x:row>
    <x:row r="1711">
      <x:c r="N1711" s="58"/>
    </x:row>
    <x:row r="1712">
      <x:c r="N1712" s="58"/>
    </x:row>
    <x:row r="1713">
      <x:c r="N1713" s="58"/>
    </x:row>
    <x:row r="1714">
      <x:c r="N1714" s="58"/>
    </x:row>
    <x:row r="1715">
      <x:c r="N1715" s="58"/>
    </x:row>
    <x:row r="1716">
      <x:c r="N1716" s="58"/>
    </x:row>
    <x:row r="1717">
      <x:c r="N1717" s="58"/>
    </x:row>
    <x:row r="1718">
      <x:c r="N1718" s="58"/>
    </x:row>
    <x:row r="1719">
      <x:c r="N1719" s="58"/>
    </x:row>
    <x:row r="1720">
      <x:c r="N1720" s="58"/>
    </x:row>
    <x:row r="1721">
      <x:c r="N1721" s="58"/>
    </x:row>
    <x:row r="1722">
      <x:c r="N1722" s="58"/>
    </x:row>
    <x:row r="1723">
      <x:c r="N1723" s="58"/>
    </x:row>
    <x:row r="1724">
      <x:c r="N1724" s="58"/>
    </x:row>
    <x:row r="1725">
      <x:c r="N1725" s="58"/>
    </x:row>
    <x:row r="1726">
      <x:c r="N1726" s="58"/>
    </x:row>
    <x:row r="1727">
      <x:c r="N1727" s="58"/>
    </x:row>
    <x:row r="1728">
      <x:c r="N1728" s="58"/>
    </x:row>
    <x:row r="1729">
      <x:c r="N1729" s="58"/>
    </x:row>
    <x:row r="1730">
      <x:c r="N1730" s="58"/>
    </x:row>
    <x:row r="1731">
      <x:c r="N1731" s="58"/>
    </x:row>
    <x:row r="1732">
      <x:c r="N1732" s="58"/>
    </x:row>
    <x:row r="1733">
      <x:c r="N1733" s="58"/>
    </x:row>
    <x:row r="1734">
      <x:c r="N1734" s="58"/>
    </x:row>
    <x:row r="1735">
      <x:c r="N1735" s="58"/>
    </x:row>
    <x:row r="1736">
      <x:c r="N1736" s="58"/>
    </x:row>
    <x:row r="1737">
      <x:c r="N1737" s="58"/>
    </x:row>
    <x:row r="1738">
      <x:c r="N1738" s="58"/>
    </x:row>
    <x:row r="1739">
      <x:c r="N1739" s="58"/>
    </x:row>
    <x:row r="1740">
      <x:c r="N1740" s="58"/>
    </x:row>
    <x:row r="1741">
      <x:c r="N1741" s="58"/>
    </x:row>
    <x:row r="1742">
      <x:c r="N1742" s="58"/>
    </x:row>
    <x:row r="1743">
      <x:c r="N1743" s="58"/>
    </x:row>
    <x:row r="1744">
      <x:c r="N1744" s="58"/>
    </x:row>
    <x:row r="1745">
      <x:c r="N1745" s="58"/>
    </x:row>
    <x:row r="1746">
      <x:c r="N1746" s="58"/>
    </x:row>
    <x:row r="1747">
      <x:c r="N1747" s="58"/>
    </x:row>
    <x:row r="1748">
      <x:c r="N1748" s="58"/>
    </x:row>
    <x:row r="1749">
      <x:c r="N1749" s="58"/>
    </x:row>
    <x:row r="1750">
      <x:c r="N1750" s="58"/>
    </x:row>
    <x:row r="1751">
      <x:c r="N1751" s="58"/>
    </x:row>
    <x:row r="1752">
      <x:c r="N1752" s="58"/>
    </x:row>
    <x:row r="1753">
      <x:c r="N1753" s="58"/>
    </x:row>
    <x:row r="1754">
      <x:c r="N1754" s="58"/>
    </x:row>
    <x:row r="1755">
      <x:c r="N1755" s="58"/>
    </x:row>
    <x:row r="1756">
      <x:c r="N1756" s="58"/>
    </x:row>
    <x:row r="1757">
      <x:c r="N1757" s="58"/>
    </x:row>
    <x:row r="1758">
      <x:c r="N1758" s="58"/>
    </x:row>
    <x:row r="1759">
      <x:c r="N1759" s="58"/>
    </x:row>
    <x:row r="1760">
      <x:c r="N1760" s="58"/>
    </x:row>
    <x:row r="1761">
      <x:c r="N1761" s="58"/>
    </x:row>
    <x:row r="1762">
      <x:c r="N1762" s="58"/>
    </x:row>
    <x:row r="1763">
      <x:c r="N1763" s="58"/>
    </x:row>
    <x:row r="1764">
      <x:c r="N1764" s="58"/>
    </x:row>
    <x:row r="1765">
      <x:c r="N1765" s="58"/>
    </x:row>
    <x:row r="1766">
      <x:c r="N1766" s="58"/>
    </x:row>
    <x:row r="1767">
      <x:c r="N1767" s="58"/>
    </x:row>
    <x:row r="1768">
      <x:c r="N1768" s="58"/>
    </x:row>
    <x:row r="1769">
      <x:c r="N1769" s="58"/>
    </x:row>
    <x:row r="1770">
      <x:c r="N1770" s="58"/>
    </x:row>
    <x:row r="1771">
      <x:c r="N1771" s="58"/>
    </x:row>
    <x:row r="1772">
      <x:c r="N1772" s="58"/>
    </x:row>
    <x:row r="1773">
      <x:c r="N1773" s="58"/>
    </x:row>
    <x:row r="1774">
      <x:c r="N1774" s="58"/>
    </x:row>
    <x:row r="1775">
      <x:c r="N1775" s="58"/>
    </x:row>
    <x:row r="1776">
      <x:c r="N1776" s="58"/>
    </x:row>
    <x:row r="1777">
      <x:c r="N1777" s="58"/>
    </x:row>
    <x:row r="1778">
      <x:c r="N1778" s="58"/>
    </x:row>
    <x:row r="1779">
      <x:c r="N1779" s="58"/>
    </x:row>
    <x:row r="1780">
      <x:c r="N1780" s="58"/>
    </x:row>
    <x:row r="1781">
      <x:c r="N1781" s="58"/>
    </x:row>
    <x:row r="1782">
      <x:c r="N1782" s="58"/>
    </x:row>
    <x:row r="1783">
      <x:c r="N1783" s="58"/>
    </x:row>
    <x:row r="1784">
      <x:c r="N1784" s="58"/>
    </x:row>
    <x:row r="1785">
      <x:c r="N1785" s="58"/>
    </x:row>
    <x:row r="1786">
      <x:c r="N1786" s="58"/>
    </x:row>
    <x:row r="1787">
      <x:c r="N1787" s="58"/>
    </x:row>
    <x:row r="1788">
      <x:c r="N1788" s="58"/>
    </x:row>
    <x:row r="1789">
      <x:c r="N1789" s="58"/>
    </x:row>
    <x:row r="1790">
      <x:c r="N1790" s="58"/>
    </x:row>
    <x:row r="1791">
      <x:c r="N1791" s="58"/>
    </x:row>
    <x:row r="1792">
      <x:c r="N1792" s="58"/>
    </x:row>
    <x:row r="1793">
      <x:c r="N1793" s="58"/>
    </x:row>
    <x:row r="1794">
      <x:c r="N1794" s="58"/>
    </x:row>
    <x:row r="1795">
      <x:c r="N1795" s="58"/>
    </x:row>
    <x:row r="1796">
      <x:c r="N1796" s="58"/>
    </x:row>
    <x:row r="1797">
      <x:c r="N1797" s="58"/>
    </x:row>
    <x:row r="1798">
      <x:c r="N1798" s="58"/>
    </x:row>
    <x:row r="1799">
      <x:c r="N1799" s="58"/>
    </x:row>
    <x:row r="1800">
      <x:c r="N1800" s="58"/>
    </x:row>
    <x:row r="1801">
      <x:c r="N1801" s="58"/>
    </x:row>
    <x:row r="1802">
      <x:c r="N1802" s="58"/>
    </x:row>
    <x:row r="1803">
      <x:c r="N1803" s="58"/>
    </x:row>
    <x:row r="1804">
      <x:c r="N1804" s="58"/>
    </x:row>
    <x:row r="1805">
      <x:c r="N1805" s="58"/>
    </x:row>
    <x:row r="1806">
      <x:c r="N1806" s="58"/>
    </x:row>
    <x:row r="1807">
      <x:c r="N1807" s="58"/>
    </x:row>
    <x:row r="1808">
      <x:c r="N1808" s="58"/>
    </x:row>
    <x:row r="1809">
      <x:c r="N1809" s="58"/>
    </x:row>
    <x:row r="1810">
      <x:c r="N1810" s="58"/>
    </x:row>
    <x:row r="1811">
      <x:c r="N1811" s="58"/>
    </x:row>
    <x:row r="1812">
      <x:c r="N1812" s="58"/>
    </x:row>
    <x:row r="1813">
      <x:c r="N1813" s="58"/>
    </x:row>
    <x:row r="1814">
      <x:c r="N1814" s="58"/>
    </x:row>
    <x:row r="1815">
      <x:c r="N1815" s="58"/>
    </x:row>
    <x:row r="1816">
      <x:c r="N1816" s="58"/>
    </x:row>
    <x:row r="1817">
      <x:c r="N1817" s="58"/>
    </x:row>
    <x:row r="1818">
      <x:c r="N1818" s="58"/>
    </x:row>
    <x:row r="1819">
      <x:c r="N1819" s="58"/>
    </x:row>
    <x:row r="1820">
      <x:c r="N1820" s="58"/>
    </x:row>
    <x:row r="1821">
      <x:c r="N1821" s="58"/>
    </x:row>
    <x:row r="1822">
      <x:c r="N1822" s="58"/>
    </x:row>
    <x:row r="1823">
      <x:c r="N1823" s="58"/>
    </x:row>
    <x:row r="1824">
      <x:c r="N1824" s="58"/>
    </x:row>
    <x:row r="1825">
      <x:c r="N1825" s="58"/>
    </x:row>
    <x:row r="1826">
      <x:c r="N1826" s="58"/>
    </x:row>
    <x:row r="1827">
      <x:c r="N1827" s="58"/>
    </x:row>
    <x:row r="1828">
      <x:c r="N1828" s="58"/>
    </x:row>
    <x:row r="1829">
      <x:c r="N1829" s="58"/>
    </x:row>
    <x:row r="1830">
      <x:c r="N1830" s="58"/>
    </x:row>
    <x:row r="1831">
      <x:c r="N1831" s="58"/>
    </x:row>
    <x:row r="1832">
      <x:c r="N1832" s="58"/>
    </x:row>
    <x:row r="1833">
      <x:c r="N1833" s="58"/>
    </x:row>
    <x:row r="1834">
      <x:c r="N1834" s="58"/>
    </x:row>
    <x:row r="1835">
      <x:c r="N1835" s="58"/>
    </x:row>
    <x:row r="1836">
      <x:c r="N1836" s="58"/>
    </x:row>
    <x:row r="1837">
      <x:c r="N1837" s="58"/>
    </x:row>
    <x:row r="1838">
      <x:c r="N1838" s="58"/>
    </x:row>
    <x:row r="1839">
      <x:c r="N1839" s="58"/>
    </x:row>
    <x:row r="1840">
      <x:c r="N1840" s="58"/>
    </x:row>
    <x:row r="1841">
      <x:c r="N1841" s="58"/>
    </x:row>
    <x:row r="1842">
      <x:c r="N1842" s="58"/>
    </x:row>
    <x:row r="1843">
      <x:c r="N1843" s="58"/>
    </x:row>
    <x:row r="1844">
      <x:c r="N1844" s="58"/>
    </x:row>
    <x:row r="1845">
      <x:c r="N1845" s="58"/>
    </x:row>
    <x:row r="1846">
      <x:c r="N1846" s="58"/>
    </x:row>
    <x:row r="1847">
      <x:c r="N1847" s="58"/>
    </x:row>
    <x:row r="1848">
      <x:c r="N1848" s="58"/>
    </x:row>
    <x:row r="1849">
      <x:c r="N1849" s="58"/>
    </x:row>
    <x:row r="1850">
      <x:c r="N1850" s="58"/>
    </x:row>
    <x:row r="1851">
      <x:c r="N1851" s="58"/>
    </x:row>
    <x:row r="1852">
      <x:c r="N1852" s="58"/>
    </x:row>
    <x:row r="1853">
      <x:c r="N1853" s="58"/>
    </x:row>
    <x:row r="1854">
      <x:c r="N1854" s="58"/>
    </x:row>
    <x:row r="1855">
      <x:c r="N1855" s="58"/>
    </x:row>
    <x:row r="1856">
      <x:c r="N1856" s="58"/>
    </x:row>
    <x:row r="1857">
      <x:c r="N1857" s="58"/>
    </x:row>
    <x:row r="1858">
      <x:c r="N1858" s="58"/>
    </x:row>
    <x:row r="1859">
      <x:c r="N1859" s="58"/>
    </x:row>
    <x:row r="1860">
      <x:c r="N1860" s="58"/>
    </x:row>
    <x:row r="1861">
      <x:c r="N1861" s="58"/>
    </x:row>
    <x:row r="1862">
      <x:c r="N1862" s="58"/>
    </x:row>
    <x:row r="1863">
      <x:c r="N1863" s="58"/>
    </x:row>
    <x:row r="1864">
      <x:c r="N1864" s="58"/>
    </x:row>
    <x:row r="1865">
      <x:c r="N1865" s="58"/>
    </x:row>
    <x:row r="1866">
      <x:c r="N1866" s="58"/>
    </x:row>
    <x:row r="1867">
      <x:c r="N1867" s="58"/>
    </x:row>
    <x:row r="1868">
      <x:c r="N1868" s="58"/>
    </x:row>
    <x:row r="1869">
      <x:c r="N1869" s="58"/>
    </x:row>
    <x:row r="1870">
      <x:c r="N1870" s="58"/>
    </x:row>
    <x:row r="1871">
      <x:c r="N1871" s="58"/>
    </x:row>
    <x:row r="1872">
      <x:c r="N1872" s="58"/>
    </x:row>
    <x:row r="1873">
      <x:c r="N1873" s="58"/>
    </x:row>
    <x:row r="1874">
      <x:c r="N1874" s="58"/>
    </x:row>
    <x:row r="1875">
      <x:c r="N1875" s="58"/>
    </x:row>
    <x:row r="1876">
      <x:c r="N1876" s="58"/>
    </x:row>
    <x:row r="1877">
      <x:c r="N1877" s="58"/>
    </x:row>
    <x:row r="1878">
      <x:c r="N1878" s="58"/>
    </x:row>
    <x:row r="1879">
      <x:c r="N1879" s="58"/>
    </x:row>
    <x:row r="1880">
      <x:c r="N1880" s="58"/>
    </x:row>
    <x:row r="1881">
      <x:c r="N1881" s="58"/>
    </x:row>
    <x:row r="1882">
      <x:c r="N1882" s="58"/>
    </x:row>
    <x:row r="1883">
      <x:c r="N1883" s="58"/>
    </x:row>
    <x:row r="1884">
      <x:c r="N1884" s="58"/>
    </x:row>
    <x:row r="1885">
      <x:c r="N1885" s="58"/>
    </x:row>
    <x:row r="1886">
      <x:c r="N1886" s="58"/>
    </x:row>
    <x:row r="1887">
      <x:c r="N1887" s="58"/>
    </x:row>
    <x:row r="1888">
      <x:c r="N1888" s="58"/>
    </x:row>
    <x:row r="1889">
      <x:c r="N1889" s="58"/>
    </x:row>
    <x:row r="1890">
      <x:c r="N1890" s="58"/>
    </x:row>
    <x:row r="1891">
      <x:c r="N1891" s="58"/>
    </x:row>
    <x:row r="1892">
      <x:c r="N1892" s="58"/>
    </x:row>
    <x:row r="1893">
      <x:c r="N1893" s="58"/>
    </x:row>
    <x:row r="1894">
      <x:c r="N1894" s="58"/>
    </x:row>
    <x:row r="1895">
      <x:c r="N1895" s="58"/>
    </x:row>
    <x:row r="1896">
      <x:c r="N1896" s="58"/>
    </x:row>
    <x:row r="1897">
      <x:c r="N1897" s="58"/>
    </x:row>
    <x:row r="1898">
      <x:c r="N1898" s="58"/>
    </x:row>
    <x:row r="1899">
      <x:c r="N1899" s="58"/>
    </x:row>
    <x:row r="1900">
      <x:c r="N1900" s="58"/>
    </x:row>
    <x:row r="1901">
      <x:c r="N1901" s="58"/>
    </x:row>
    <x:row r="1902">
      <x:c r="N1902" s="58"/>
    </x:row>
    <x:row r="1903">
      <x:c r="N1903" s="58"/>
    </x:row>
    <x:row r="1904">
      <x:c r="N1904" s="58"/>
    </x:row>
    <x:row r="1905">
      <x:c r="N1905" s="58"/>
    </x:row>
    <x:row r="1906">
      <x:c r="N1906" s="58"/>
    </x:row>
    <x:row r="1907">
      <x:c r="N1907" s="58"/>
    </x:row>
    <x:row r="1908">
      <x:c r="N1908" s="58"/>
    </x:row>
    <x:row r="1909">
      <x:c r="N1909" s="58"/>
    </x:row>
    <x:row r="1910">
      <x:c r="N1910" s="58"/>
    </x:row>
    <x:row r="1911">
      <x:c r="N1911" s="58"/>
    </x:row>
    <x:row r="1912">
      <x:c r="N1912" s="58"/>
    </x:row>
    <x:row r="1913">
      <x:c r="N1913" s="58"/>
    </x:row>
    <x:row r="1914">
      <x:c r="N1914" s="58"/>
    </x:row>
    <x:row r="1915">
      <x:c r="N1915" s="58"/>
    </x:row>
    <x:row r="1916">
      <x:c r="N1916" s="58"/>
    </x:row>
    <x:row r="1917">
      <x:c r="N1917" s="58"/>
    </x:row>
    <x:row r="1918">
      <x:c r="N1918" s="58"/>
    </x:row>
    <x:row r="1919">
      <x:c r="N1919" s="58"/>
    </x:row>
    <x:row r="1920">
      <x:c r="N1920" s="58"/>
    </x:row>
    <x:row r="1921">
      <x:c r="N1921" s="58"/>
    </x:row>
    <x:row r="1922">
      <x:c r="N1922" s="58"/>
    </x:row>
    <x:row r="1923">
      <x:c r="N1923" s="58"/>
    </x:row>
    <x:row r="1924">
      <x:c r="N1924" s="58"/>
    </x:row>
    <x:row r="1925">
      <x:c r="N1925" s="58"/>
    </x:row>
    <x:row r="1926">
      <x:c r="N1926" s="58"/>
    </x:row>
    <x:row r="1927">
      <x:c r="N1927" s="58"/>
    </x:row>
    <x:row r="1928">
      <x:c r="N1928" s="58"/>
    </x:row>
    <x:row r="1929">
      <x:c r="N1929" s="58"/>
    </x:row>
    <x:row r="1930">
      <x:c r="N1930" s="58"/>
    </x:row>
    <x:row r="1931">
      <x:c r="N1931" s="58"/>
    </x:row>
    <x:row r="1932">
      <x:c r="N1932" s="58"/>
    </x:row>
    <x:row r="1933">
      <x:c r="N1933" s="58"/>
    </x:row>
    <x:row r="1934">
      <x:c r="N1934" s="58"/>
    </x:row>
    <x:row r="1935">
      <x:c r="N1935" s="58"/>
    </x:row>
    <x:row r="1936">
      <x:c r="N1936" s="58"/>
    </x:row>
    <x:row r="1937">
      <x:c r="N1937" s="58"/>
    </x:row>
    <x:row r="1938">
      <x:c r="N1938" s="58"/>
    </x:row>
    <x:row r="1939">
      <x:c r="N1939" s="58"/>
    </x:row>
    <x:row r="1940">
      <x:c r="N1940" s="58"/>
    </x:row>
    <x:row r="1941">
      <x:c r="N1941" s="58"/>
    </x:row>
    <x:row r="1942">
      <x:c r="N1942" s="58"/>
    </x:row>
    <x:row r="1943">
      <x:c r="N1943" s="58"/>
    </x:row>
    <x:row r="1944">
      <x:c r="N1944" s="58"/>
    </x:row>
    <x:row r="1945">
      <x:c r="N1945" s="58"/>
    </x:row>
    <x:row r="1946">
      <x:c r="N1946" s="58"/>
    </x:row>
    <x:row r="1947">
      <x:c r="N1947" s="58"/>
    </x:row>
    <x:row r="1948">
      <x:c r="N1948" s="58"/>
    </x:row>
    <x:row r="1949">
      <x:c r="N1949" s="58"/>
    </x:row>
    <x:row r="1950">
      <x:c r="N1950" s="58"/>
    </x:row>
    <x:row r="1951">
      <x:c r="N1951" s="58"/>
    </x:row>
    <x:row r="1952">
      <x:c r="N1952" s="58"/>
    </x:row>
    <x:row r="1953">
      <x:c r="N1953" s="58"/>
    </x:row>
    <x:row r="1954">
      <x:c r="N1954" s="58"/>
    </x:row>
    <x:row r="1955">
      <x:c r="N1955" s="58"/>
    </x:row>
    <x:row r="1956">
      <x:c r="N1956" s="58"/>
    </x:row>
    <x:row r="1957">
      <x:c r="N1957" s="58"/>
    </x:row>
    <x:row r="1958">
      <x:c r="N1958" s="58"/>
    </x:row>
    <x:row r="1959">
      <x:c r="N1959" s="58"/>
    </x:row>
    <x:row r="1960">
      <x:c r="N1960" s="58"/>
    </x:row>
    <x:row r="1961">
      <x:c r="N1961" s="58"/>
    </x:row>
    <x:row r="1962">
      <x:c r="N1962" s="58"/>
    </x:row>
    <x:row r="1963">
      <x:c r="N1963" s="58"/>
    </x:row>
    <x:row r="1964">
      <x:c r="N1964" s="58"/>
    </x:row>
    <x:row r="1965">
      <x:c r="N1965" s="58"/>
    </x:row>
    <x:row r="1966">
      <x:c r="N1966" s="58"/>
    </x:row>
    <x:row r="1967">
      <x:c r="N1967" s="58"/>
    </x:row>
    <x:row r="1968">
      <x:c r="N1968" s="58"/>
    </x:row>
    <x:row r="1969">
      <x:c r="N1969" s="58"/>
    </x:row>
    <x:row r="1970">
      <x:c r="N1970" s="58"/>
    </x:row>
    <x:row r="1971">
      <x:c r="N1971" s="58"/>
    </x:row>
    <x:row r="1972">
      <x:c r="N1972" s="58"/>
    </x:row>
    <x:row r="1973">
      <x:c r="N1973" s="58"/>
    </x:row>
    <x:row r="1974">
      <x:c r="N1974" s="58"/>
    </x:row>
    <x:row r="1975">
      <x:c r="N1975" s="58"/>
    </x:row>
    <x:row r="1976">
      <x:c r="N1976" s="58"/>
    </x:row>
    <x:row r="1977">
      <x:c r="N1977" s="58"/>
    </x:row>
    <x:row r="1978">
      <x:c r="N1978" s="58"/>
    </x:row>
    <x:row r="1979">
      <x:c r="N1979" s="58"/>
    </x:row>
    <x:row r="1980">
      <x:c r="N1980" s="58"/>
    </x:row>
    <x:row r="1981">
      <x:c r="N1981" s="58"/>
    </x:row>
    <x:row r="1982">
      <x:c r="N1982" s="58"/>
    </x:row>
    <x:row r="1983">
      <x:c r="N1983" s="58"/>
    </x:row>
    <x:row r="1984">
      <x:c r="N1984" s="58"/>
    </x:row>
    <x:row r="1985">
      <x:c r="N1985" s="58"/>
    </x:row>
    <x:row r="1986">
      <x:c r="N1986" s="58"/>
    </x:row>
    <x:row r="1987">
      <x:c r="N1987" s="58"/>
    </x:row>
    <x:row r="1988">
      <x:c r="N1988" s="58"/>
    </x:row>
    <x:row r="1989">
      <x:c r="N1989" s="58"/>
    </x:row>
    <x:row r="1990">
      <x:c r="N1990" s="58"/>
    </x:row>
    <x:row r="1991">
      <x:c r="N1991" s="58"/>
    </x:row>
    <x:row r="1992">
      <x:c r="N1992" s="58"/>
    </x:row>
    <x:row r="1993">
      <x:c r="N1993" s="58"/>
    </x:row>
    <x:row r="1994">
      <x:c r="N1994" s="58"/>
    </x:row>
    <x:row r="1995">
      <x:c r="N1995" s="58"/>
    </x:row>
    <x:row r="1996">
      <x:c r="N1996" s="58"/>
    </x:row>
    <x:row r="1997">
      <x:c r="N1997" s="58"/>
    </x:row>
    <x:row r="1998">
      <x:c r="N1998" s="58"/>
    </x:row>
    <x:row r="1999">
      <x:c r="N1999" s="58"/>
    </x:row>
    <x:row r="2000">
      <x:c r="N2000" s="58"/>
    </x:row>
  </x:sheetData>
  <x:mergeCells>
    <x:mergeCell ref="A1:N1"/>
    <x:mergeCell ref="A2:N2"/>
  </x:mergeCells>
  <x:dataValidations count="1">
    <x:dataValidation type="list" sqref="H5:H2000">
      <x:formula1>LISTAS!$H$5:$H$11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5a75970afc466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34" hidden="0" customWidth="1"/>
    <x:col min="9" max="9" width="14" hidden="0" customWidth="1"/>
    <x:col min="10" max="10" width="16" hidden="0" customWidth="1"/>
    <x:col min="11" max="11" width="34" hidden="0" customWidth="1"/>
    <x:col min="12" max="12" width="22" hidden="0" customWidth="1"/>
    <x:col min="13" max="13" width="12" hidden="0" customWidth="1"/>
    <x:col min="14" max="14" width="16" hidden="0" customWidth="1"/>
    <x:col min="15" max="15" width="34" hidden="0" customWidth="1"/>
  </x:cols>
  <x:sheetData>
    <x:row r="1" ht="30" customHeight="1">
      <x:c r="A1" s="5" t="str">
        <x:v>Control de turismo</x:v>
      </x:c>
    </x:row>
    <x:row r="2" ht="22" customHeight="1">
      <x:c r="A2" s="13" t="str">
        <x:v>Rutas, pasajeros, DNI, modalidad, fecha, conductor y precio referencial.</x:v>
      </x:c>
    </x:row>
    <x:row r="4">
      <x:c r="A4" s="74" t="str">
        <x:v>ID_SERVICIO</x:v>
      </x:c>
      <x:c r="B4" s="74" t="str">
        <x:v>DESTINO_TURISTICO</x:v>
      </x:c>
      <x:c r="C4" s="74" t="str">
        <x:v>MODALIDAD</x:v>
      </x:c>
      <x:c r="D4" s="74" t="str">
        <x:v>FECHA_TOUR</x:v>
      </x:c>
      <x:c r="E4" s="74" t="str">
        <x:v>HORA_RECOJO</x:v>
      </x:c>
      <x:c r="F4" s="74" t="str">
        <x:v>CANTIDAD_PERSONAS</x:v>
      </x:c>
      <x:c r="G4" s="74" t="str">
        <x:v>TIPO_GRUPO</x:v>
      </x:c>
      <x:c r="H4" s="74" t="str">
        <x:v>PASAJEROS_RESUMEN</x:v>
      </x:c>
      <x:c r="I4" s="74" t="str">
        <x:v>DNI_COMPLETO</x:v>
      </x:c>
      <x:c r="J4" s="74" t="str">
        <x:v>PRECIO_REFERENCIAL</x:v>
      </x:c>
      <x:c r="K4" s="74" t="str">
        <x:v>NOTA_RUTA</x:v>
      </x:c>
      <x:c r="L4" s="74" t="str">
        <x:v>CONDUCTOR</x:v>
      </x:c>
      <x:c r="M4" s="74" t="str">
        <x:v>PLACA</x:v>
      </x:c>
      <x:c r="N4" s="74" t="str">
        <x:v>ESTADO</x:v>
      </x:c>
      <x:c r="O4" s="74" t="str">
        <x:v>OBSERVACION</x:v>
      </x:c>
    </x:row>
    <x:row r="5">
      <x:c r="A5" t="str">
        <x:v>BM-00002</x:v>
      </x:c>
      <x:c r="B5" t="str">
        <x:v>Caral</x:v>
      </x:c>
      <x:c r="C5" t="str">
        <x:v>Ida y vuelta</x:v>
      </x:c>
      <x:c r="D5" s="46" t="n">
        <x:v>46162</x:v>
      </x:c>
      <x:c r="E5" t="str">
        <x:v>08:00</x:v>
      </x:c>
      <x:c r="F5" t="n">
        <x:v>2</x:v>
      </x:c>
      <x:c r="G5" t="str">
        <x:v>Familia</x:v>
      </x:c>
      <x:c r="H5" t="str">
        <x:v>Elizabeth Ramos / Zoila Tello</x:v>
      </x:c>
      <x:c r="I5" t="str">
        <x:v>SI</x:v>
      </x:c>
      <x:c r="J5" t="str">
        <x:v>S/60 ref.</x:v>
      </x:c>
      <x:c r="K5" t="str">
        <x:v>Moto a ruinas S/40 extra</x:v>
      </x:c>
      <x:c r="L5" t="str">
        <x:v>Carlos Álvarez</x:v>
      </x:c>
      <x:c r="M5" t="str">
        <x:v>AXG-557</x:v>
      </x:c>
      <x:c r="N5" t="str">
        <x:v>ASIGNADO</x:v>
      </x:c>
      <x:c r="O5" t="str">
        <x:v>Validar coordinación final</x:v>
      </x:c>
    </x:row>
    <x:row r="6">
      <x:c r="D6" s="46"/>
    </x:row>
    <x:row r="7">
      <x:c r="D7" s="46"/>
    </x:row>
    <x:row r="8">
      <x:c r="D8" s="46"/>
    </x:row>
    <x:row r="9">
      <x:c r="D9" s="46"/>
    </x:row>
    <x:row r="10">
      <x:c r="D10" s="46"/>
    </x:row>
    <x:row r="11">
      <x:c r="D11" s="46"/>
    </x:row>
    <x:row r="12">
      <x:c r="D12" s="46"/>
    </x:row>
    <x:row r="13">
      <x:c r="D13" s="46"/>
    </x:row>
    <x:row r="14">
      <x:c r="D14" s="46"/>
    </x:row>
    <x:row r="15">
      <x:c r="D15" s="46"/>
    </x:row>
    <x:row r="16">
      <x:c r="D16" s="46"/>
    </x:row>
    <x:row r="17">
      <x:c r="D17" s="46"/>
    </x:row>
    <x:row r="18">
      <x:c r="D18" s="46"/>
    </x:row>
    <x:row r="19">
      <x:c r="D19" s="46"/>
    </x:row>
    <x:row r="20">
      <x:c r="D20" s="46"/>
    </x:row>
    <x:row r="21">
      <x:c r="D21" s="46"/>
    </x:row>
    <x:row r="22">
      <x:c r="D22" s="46"/>
    </x:row>
    <x:row r="23">
      <x:c r="D23" s="46"/>
    </x:row>
    <x:row r="24">
      <x:c r="D24" s="46"/>
    </x:row>
    <x:row r="25">
      <x:c r="D25" s="46"/>
    </x:row>
    <x:row r="26">
      <x:c r="D26" s="46"/>
    </x:row>
    <x:row r="27">
      <x:c r="D27" s="46"/>
    </x:row>
    <x:row r="28">
      <x:c r="D28" s="46"/>
    </x:row>
    <x:row r="29">
      <x:c r="D29" s="46"/>
    </x:row>
    <x:row r="30">
      <x:c r="D30" s="46"/>
    </x:row>
    <x:row r="31">
      <x:c r="D31" s="46"/>
    </x:row>
    <x:row r="32">
      <x:c r="D32" s="46"/>
    </x:row>
    <x:row r="33">
      <x:c r="D33" s="46"/>
    </x:row>
    <x:row r="34">
      <x:c r="D34" s="46"/>
    </x:row>
    <x:row r="35">
      <x:c r="D35" s="46"/>
    </x:row>
    <x:row r="36">
      <x:c r="D36" s="46"/>
    </x:row>
    <x:row r="37">
      <x:c r="D37" s="46"/>
    </x:row>
    <x:row r="38">
      <x:c r="D38" s="46"/>
    </x:row>
    <x:row r="39">
      <x:c r="D39" s="46"/>
    </x:row>
    <x:row r="40">
      <x:c r="D40" s="46"/>
    </x:row>
    <x:row r="41">
      <x:c r="D41" s="46"/>
    </x:row>
    <x:row r="42">
      <x:c r="D42" s="46"/>
    </x:row>
    <x:row r="43">
      <x:c r="D43" s="46"/>
    </x:row>
    <x:row r="44">
      <x:c r="D44" s="46"/>
    </x:row>
    <x:row r="45">
      <x:c r="D45" s="46"/>
    </x:row>
    <x:row r="46">
      <x:c r="D46" s="46"/>
    </x:row>
    <x:row r="47">
      <x:c r="D47" s="46"/>
    </x:row>
    <x:row r="48">
      <x:c r="D48" s="46"/>
    </x:row>
    <x:row r="49">
      <x:c r="D49" s="46"/>
    </x:row>
    <x:row r="50">
      <x:c r="D50" s="46"/>
    </x:row>
    <x:row r="51">
      <x:c r="D51" s="46"/>
    </x:row>
    <x:row r="52">
      <x:c r="D52" s="46"/>
    </x:row>
    <x:row r="53">
      <x:c r="D53" s="46"/>
    </x:row>
    <x:row r="54">
      <x:c r="D54" s="46"/>
    </x:row>
    <x:row r="55">
      <x:c r="D55" s="46"/>
    </x:row>
    <x:row r="56">
      <x:c r="D56" s="46"/>
    </x:row>
    <x:row r="57">
      <x:c r="D57" s="46"/>
    </x:row>
    <x:row r="58">
      <x:c r="D58" s="46"/>
    </x:row>
    <x:row r="59">
      <x:c r="D59" s="46"/>
    </x:row>
    <x:row r="60">
      <x:c r="D60" s="46"/>
    </x:row>
    <x:row r="61">
      <x:c r="D61" s="46"/>
    </x:row>
    <x:row r="62">
      <x:c r="D62" s="46"/>
    </x:row>
    <x:row r="63">
      <x:c r="D63" s="46"/>
    </x:row>
    <x:row r="64">
      <x:c r="D64" s="46"/>
    </x:row>
    <x:row r="65">
      <x:c r="D65" s="46"/>
    </x:row>
    <x:row r="66">
      <x:c r="D66" s="46"/>
    </x:row>
    <x:row r="67">
      <x:c r="D67" s="46"/>
    </x:row>
    <x:row r="68">
      <x:c r="D68" s="46"/>
    </x:row>
    <x:row r="69">
      <x:c r="D69" s="46"/>
    </x:row>
    <x:row r="70">
      <x:c r="D70" s="46"/>
    </x:row>
    <x:row r="71">
      <x:c r="D71" s="46"/>
    </x:row>
    <x:row r="72">
      <x:c r="D72" s="46"/>
    </x:row>
    <x:row r="73">
      <x:c r="D73" s="46"/>
    </x:row>
    <x:row r="74">
      <x:c r="D74" s="46"/>
    </x:row>
    <x:row r="75">
      <x:c r="D75" s="46"/>
    </x:row>
    <x:row r="76">
      <x:c r="D76" s="46"/>
    </x:row>
    <x:row r="77">
      <x:c r="D77" s="46"/>
    </x:row>
    <x:row r="78">
      <x:c r="D78" s="46"/>
    </x:row>
    <x:row r="79">
      <x:c r="D79" s="46"/>
    </x:row>
    <x:row r="80">
      <x:c r="D80" s="46"/>
    </x:row>
    <x:row r="81">
      <x:c r="D81" s="46"/>
    </x:row>
    <x:row r="82">
      <x:c r="D82" s="46"/>
    </x:row>
    <x:row r="83">
      <x:c r="D83" s="46"/>
    </x:row>
    <x:row r="84">
      <x:c r="D84" s="46"/>
    </x:row>
    <x:row r="85">
      <x:c r="D85" s="46"/>
    </x:row>
    <x:row r="86">
      <x:c r="D86" s="46"/>
    </x:row>
    <x:row r="87">
      <x:c r="D87" s="46"/>
    </x:row>
    <x:row r="88">
      <x:c r="D88" s="46"/>
    </x:row>
    <x:row r="89">
      <x:c r="D89" s="46"/>
    </x:row>
    <x:row r="90">
      <x:c r="D90" s="46"/>
    </x:row>
    <x:row r="91">
      <x:c r="D91" s="46"/>
    </x:row>
    <x:row r="92">
      <x:c r="D92" s="46"/>
    </x:row>
    <x:row r="93">
      <x:c r="D93" s="46"/>
    </x:row>
    <x:row r="94">
      <x:c r="D94" s="46"/>
    </x:row>
    <x:row r="95">
      <x:c r="D95" s="46"/>
    </x:row>
    <x:row r="96">
      <x:c r="D96" s="46"/>
    </x:row>
    <x:row r="97">
      <x:c r="D97" s="46"/>
    </x:row>
    <x:row r="98">
      <x:c r="D98" s="46"/>
    </x:row>
    <x:row r="99">
      <x:c r="D99" s="46"/>
    </x:row>
    <x:row r="100">
      <x:c r="D100" s="46"/>
    </x:row>
    <x:row r="101">
      <x:c r="D101" s="46"/>
    </x:row>
    <x:row r="102">
      <x:c r="D102" s="46"/>
    </x:row>
    <x:row r="103">
      <x:c r="D103" s="46"/>
    </x:row>
    <x:row r="104">
      <x:c r="D104" s="46"/>
    </x:row>
    <x:row r="105">
      <x:c r="D105" s="46"/>
    </x:row>
    <x:row r="106">
      <x:c r="D106" s="46"/>
    </x:row>
    <x:row r="107">
      <x:c r="D107" s="46"/>
    </x:row>
    <x:row r="108">
      <x:c r="D108" s="46"/>
    </x:row>
    <x:row r="109">
      <x:c r="D109" s="46"/>
    </x:row>
    <x:row r="110">
      <x:c r="D110" s="46"/>
    </x:row>
    <x:row r="111">
      <x:c r="D111" s="46"/>
    </x:row>
    <x:row r="112">
      <x:c r="D112" s="46"/>
    </x:row>
    <x:row r="113">
      <x:c r="D113" s="46"/>
    </x:row>
    <x:row r="114">
      <x:c r="D114" s="46"/>
    </x:row>
    <x:row r="115">
      <x:c r="D115" s="46"/>
    </x:row>
    <x:row r="116">
      <x:c r="D116" s="46"/>
    </x:row>
    <x:row r="117">
      <x:c r="D117" s="46"/>
    </x:row>
    <x:row r="118">
      <x:c r="D118" s="46"/>
    </x:row>
    <x:row r="119">
      <x:c r="D119" s="46"/>
    </x:row>
    <x:row r="120">
      <x:c r="D120" s="46"/>
    </x:row>
    <x:row r="121">
      <x:c r="D121" s="46"/>
    </x:row>
    <x:row r="122">
      <x:c r="D122" s="46"/>
    </x:row>
    <x:row r="123">
      <x:c r="D123" s="46"/>
    </x:row>
    <x:row r="124">
      <x:c r="D124" s="46"/>
    </x:row>
    <x:row r="125">
      <x:c r="D125" s="46"/>
    </x:row>
    <x:row r="126">
      <x:c r="D126" s="46"/>
    </x:row>
    <x:row r="127">
      <x:c r="D127" s="46"/>
    </x:row>
    <x:row r="128">
      <x:c r="D128" s="46"/>
    </x:row>
    <x:row r="129">
      <x:c r="D129" s="46"/>
    </x:row>
    <x:row r="130">
      <x:c r="D130" s="46"/>
    </x:row>
    <x:row r="131">
      <x:c r="D131" s="46"/>
    </x:row>
    <x:row r="132">
      <x:c r="D132" s="46"/>
    </x:row>
    <x:row r="133">
      <x:c r="D133" s="46"/>
    </x:row>
    <x:row r="134">
      <x:c r="D134" s="46"/>
    </x:row>
    <x:row r="135">
      <x:c r="D135" s="46"/>
    </x:row>
    <x:row r="136">
      <x:c r="D136" s="46"/>
    </x:row>
    <x:row r="137">
      <x:c r="D137" s="46"/>
    </x:row>
    <x:row r="138">
      <x:c r="D138" s="46"/>
    </x:row>
    <x:row r="139">
      <x:c r="D139" s="46"/>
    </x:row>
    <x:row r="140">
      <x:c r="D140" s="46"/>
    </x:row>
    <x:row r="141">
      <x:c r="D141" s="46"/>
    </x:row>
    <x:row r="142">
      <x:c r="D142" s="46"/>
    </x:row>
    <x:row r="143">
      <x:c r="D143" s="46"/>
    </x:row>
    <x:row r="144">
      <x:c r="D144" s="46"/>
    </x:row>
    <x:row r="145">
      <x:c r="D145" s="46"/>
    </x:row>
    <x:row r="146">
      <x:c r="D146" s="46"/>
    </x:row>
    <x:row r="147">
      <x:c r="D147" s="46"/>
    </x:row>
    <x:row r="148">
      <x:c r="D148" s="46"/>
    </x:row>
    <x:row r="149">
      <x:c r="D149" s="46"/>
    </x:row>
    <x:row r="150">
      <x:c r="D150" s="46"/>
    </x:row>
    <x:row r="151">
      <x:c r="D151" s="46"/>
    </x:row>
    <x:row r="152">
      <x:c r="D152" s="46"/>
    </x:row>
    <x:row r="153">
      <x:c r="D153" s="46"/>
    </x:row>
    <x:row r="154">
      <x:c r="D154" s="46"/>
    </x:row>
    <x:row r="155">
      <x:c r="D155" s="46"/>
    </x:row>
    <x:row r="156">
      <x:c r="D156" s="46"/>
    </x:row>
    <x:row r="157">
      <x:c r="D157" s="46"/>
    </x:row>
    <x:row r="158">
      <x:c r="D158" s="46"/>
    </x:row>
    <x:row r="159">
      <x:c r="D159" s="46"/>
    </x:row>
    <x:row r="160">
      <x:c r="D160" s="46"/>
    </x:row>
    <x:row r="161">
      <x:c r="D161" s="46"/>
    </x:row>
    <x:row r="162">
      <x:c r="D162" s="46"/>
    </x:row>
    <x:row r="163">
      <x:c r="D163" s="46"/>
    </x:row>
    <x:row r="164">
      <x:c r="D164" s="46"/>
    </x:row>
    <x:row r="165">
      <x:c r="D165" s="46"/>
    </x:row>
    <x:row r="166">
      <x:c r="D166" s="46"/>
    </x:row>
    <x:row r="167">
      <x:c r="D167" s="46"/>
    </x:row>
    <x:row r="168">
      <x:c r="D168" s="46"/>
    </x:row>
    <x:row r="169">
      <x:c r="D169" s="46"/>
    </x:row>
    <x:row r="170">
      <x:c r="D170" s="46"/>
    </x:row>
    <x:row r="171">
      <x:c r="D171" s="46"/>
    </x:row>
    <x:row r="172">
      <x:c r="D172" s="46"/>
    </x:row>
    <x:row r="173">
      <x:c r="D173" s="46"/>
    </x:row>
    <x:row r="174">
      <x:c r="D174" s="46"/>
    </x:row>
    <x:row r="175">
      <x:c r="D175" s="46"/>
    </x:row>
    <x:row r="176">
      <x:c r="D176" s="46"/>
    </x:row>
    <x:row r="177">
      <x:c r="D177" s="46"/>
    </x:row>
    <x:row r="178">
      <x:c r="D178" s="46"/>
    </x:row>
    <x:row r="179">
      <x:c r="D179" s="46"/>
    </x:row>
    <x:row r="180">
      <x:c r="D180" s="46"/>
    </x:row>
    <x:row r="181">
      <x:c r="D181" s="46"/>
    </x:row>
    <x:row r="182">
      <x:c r="D182" s="46"/>
    </x:row>
    <x:row r="183">
      <x:c r="D183" s="46"/>
    </x:row>
    <x:row r="184">
      <x:c r="D184" s="46"/>
    </x:row>
    <x:row r="185">
      <x:c r="D185" s="46"/>
    </x:row>
    <x:row r="186">
      <x:c r="D186" s="46"/>
    </x:row>
    <x:row r="187">
      <x:c r="D187" s="46"/>
    </x:row>
    <x:row r="188">
      <x:c r="D188" s="46"/>
    </x:row>
    <x:row r="189">
      <x:c r="D189" s="46"/>
    </x:row>
    <x:row r="190">
      <x:c r="D190" s="46"/>
    </x:row>
    <x:row r="191">
      <x:c r="D191" s="46"/>
    </x:row>
    <x:row r="192">
      <x:c r="D192" s="46"/>
    </x:row>
    <x:row r="193">
      <x:c r="D193" s="46"/>
    </x:row>
    <x:row r="194">
      <x:c r="D194" s="46"/>
    </x:row>
    <x:row r="195">
      <x:c r="D195" s="46"/>
    </x:row>
    <x:row r="196">
      <x:c r="D196" s="46"/>
    </x:row>
    <x:row r="197">
      <x:c r="D197" s="46"/>
    </x:row>
    <x:row r="198">
      <x:c r="D198" s="46"/>
    </x:row>
    <x:row r="199">
      <x:c r="D199" s="46"/>
    </x:row>
    <x:row r="200">
      <x:c r="D200" s="46"/>
    </x:row>
    <x:row r="201">
      <x:c r="D201" s="46"/>
    </x:row>
    <x:row r="202">
      <x:c r="D202" s="46"/>
    </x:row>
    <x:row r="203">
      <x:c r="D203" s="46"/>
    </x:row>
    <x:row r="204">
      <x:c r="D204" s="46"/>
    </x:row>
    <x:row r="205">
      <x:c r="D205" s="46"/>
    </x:row>
    <x:row r="206">
      <x:c r="D206" s="46"/>
    </x:row>
    <x:row r="207">
      <x:c r="D207" s="46"/>
    </x:row>
    <x:row r="208">
      <x:c r="D208" s="46"/>
    </x:row>
    <x:row r="209">
      <x:c r="D209" s="46"/>
    </x:row>
    <x:row r="210">
      <x:c r="D210" s="46"/>
    </x:row>
    <x:row r="211">
      <x:c r="D211" s="46"/>
    </x:row>
    <x:row r="212">
      <x:c r="D212" s="46"/>
    </x:row>
    <x:row r="213">
      <x:c r="D213" s="46"/>
    </x:row>
    <x:row r="214">
      <x:c r="D214" s="46"/>
    </x:row>
    <x:row r="215">
      <x:c r="D215" s="46"/>
    </x:row>
    <x:row r="216">
      <x:c r="D216" s="46"/>
    </x:row>
    <x:row r="217">
      <x:c r="D217" s="46"/>
    </x:row>
    <x:row r="218">
      <x:c r="D218" s="46"/>
    </x:row>
    <x:row r="219">
      <x:c r="D219" s="46"/>
    </x:row>
    <x:row r="220">
      <x:c r="D220" s="46"/>
    </x:row>
    <x:row r="221">
      <x:c r="D221" s="46"/>
    </x:row>
    <x:row r="222">
      <x:c r="D222" s="46"/>
    </x:row>
    <x:row r="223">
      <x:c r="D223" s="46"/>
    </x:row>
    <x:row r="224">
      <x:c r="D224" s="46"/>
    </x:row>
    <x:row r="225">
      <x:c r="D225" s="46"/>
    </x:row>
    <x:row r="226">
      <x:c r="D226" s="46"/>
    </x:row>
    <x:row r="227">
      <x:c r="D227" s="46"/>
    </x:row>
    <x:row r="228">
      <x:c r="D228" s="46"/>
    </x:row>
    <x:row r="229">
      <x:c r="D229" s="46"/>
    </x:row>
    <x:row r="230">
      <x:c r="D230" s="46"/>
    </x:row>
    <x:row r="231">
      <x:c r="D231" s="46"/>
    </x:row>
    <x:row r="232">
      <x:c r="D232" s="46"/>
    </x:row>
    <x:row r="233">
      <x:c r="D233" s="46"/>
    </x:row>
    <x:row r="234">
      <x:c r="D234" s="46"/>
    </x:row>
    <x:row r="235">
      <x:c r="D235" s="46"/>
    </x:row>
    <x:row r="236">
      <x:c r="D236" s="46"/>
    </x:row>
    <x:row r="237">
      <x:c r="D237" s="46"/>
    </x:row>
    <x:row r="238">
      <x:c r="D238" s="46"/>
    </x:row>
    <x:row r="239">
      <x:c r="D239" s="46"/>
    </x:row>
    <x:row r="240">
      <x:c r="D240" s="46"/>
    </x:row>
    <x:row r="241">
      <x:c r="D241" s="46"/>
    </x:row>
    <x:row r="242">
      <x:c r="D242" s="46"/>
    </x:row>
    <x:row r="243">
      <x:c r="D243" s="46"/>
    </x:row>
    <x:row r="244">
      <x:c r="D244" s="46"/>
    </x:row>
    <x:row r="245">
      <x:c r="D245" s="46"/>
    </x:row>
    <x:row r="246">
      <x:c r="D246" s="46"/>
    </x:row>
    <x:row r="247">
      <x:c r="D247" s="46"/>
    </x:row>
    <x:row r="248">
      <x:c r="D248" s="46"/>
    </x:row>
    <x:row r="249">
      <x:c r="D249" s="46"/>
    </x:row>
    <x:row r="250">
      <x:c r="D250" s="46"/>
    </x:row>
    <x:row r="251">
      <x:c r="D251" s="46"/>
    </x:row>
    <x:row r="252">
      <x:c r="D252" s="46"/>
    </x:row>
    <x:row r="253">
      <x:c r="D253" s="46"/>
    </x:row>
    <x:row r="254">
      <x:c r="D254" s="46"/>
    </x:row>
    <x:row r="255">
      <x:c r="D255" s="46"/>
    </x:row>
    <x:row r="256">
      <x:c r="D256" s="46"/>
    </x:row>
    <x:row r="257">
      <x:c r="D257" s="46"/>
    </x:row>
    <x:row r="258">
      <x:c r="D258" s="46"/>
    </x:row>
    <x:row r="259">
      <x:c r="D259" s="46"/>
    </x:row>
    <x:row r="260">
      <x:c r="D260" s="46"/>
    </x:row>
    <x:row r="261">
      <x:c r="D261" s="46"/>
    </x:row>
    <x:row r="262">
      <x:c r="D262" s="46"/>
    </x:row>
    <x:row r="263">
      <x:c r="D263" s="46"/>
    </x:row>
    <x:row r="264">
      <x:c r="D264" s="46"/>
    </x:row>
    <x:row r="265">
      <x:c r="D265" s="46"/>
    </x:row>
    <x:row r="266">
      <x:c r="D266" s="46"/>
    </x:row>
    <x:row r="267">
      <x:c r="D267" s="46"/>
    </x:row>
    <x:row r="268">
      <x:c r="D268" s="46"/>
    </x:row>
    <x:row r="269">
      <x:c r="D269" s="46"/>
    </x:row>
    <x:row r="270">
      <x:c r="D270" s="46"/>
    </x:row>
    <x:row r="271">
      <x:c r="D271" s="46"/>
    </x:row>
    <x:row r="272">
      <x:c r="D272" s="46"/>
    </x:row>
    <x:row r="273">
      <x:c r="D273" s="46"/>
    </x:row>
    <x:row r="274">
      <x:c r="D274" s="46"/>
    </x:row>
    <x:row r="275">
      <x:c r="D275" s="46"/>
    </x:row>
    <x:row r="276">
      <x:c r="D276" s="46"/>
    </x:row>
    <x:row r="277">
      <x:c r="D277" s="46"/>
    </x:row>
    <x:row r="278">
      <x:c r="D278" s="46"/>
    </x:row>
    <x:row r="279">
      <x:c r="D279" s="46"/>
    </x:row>
    <x:row r="280">
      <x:c r="D280" s="46"/>
    </x:row>
    <x:row r="281">
      <x:c r="D281" s="46"/>
    </x:row>
    <x:row r="282">
      <x:c r="D282" s="46"/>
    </x:row>
    <x:row r="283">
      <x:c r="D283" s="46"/>
    </x:row>
    <x:row r="284">
      <x:c r="D284" s="46"/>
    </x:row>
    <x:row r="285">
      <x:c r="D285" s="46"/>
    </x:row>
    <x:row r="286">
      <x:c r="D286" s="46"/>
    </x:row>
    <x:row r="287">
      <x:c r="D287" s="46"/>
    </x:row>
    <x:row r="288">
      <x:c r="D288" s="46"/>
    </x:row>
    <x:row r="289">
      <x:c r="D289" s="46"/>
    </x:row>
    <x:row r="290">
      <x:c r="D290" s="46"/>
    </x:row>
    <x:row r="291">
      <x:c r="D291" s="46"/>
    </x:row>
    <x:row r="292">
      <x:c r="D292" s="46"/>
    </x:row>
    <x:row r="293">
      <x:c r="D293" s="46"/>
    </x:row>
    <x:row r="294">
      <x:c r="D294" s="46"/>
    </x:row>
    <x:row r="295">
      <x:c r="D295" s="46"/>
    </x:row>
    <x:row r="296">
      <x:c r="D296" s="46"/>
    </x:row>
    <x:row r="297">
      <x:c r="D297" s="46"/>
    </x:row>
    <x:row r="298">
      <x:c r="D298" s="46"/>
    </x:row>
    <x:row r="299">
      <x:c r="D299" s="46"/>
    </x:row>
    <x:row r="300">
      <x:c r="D300" s="46"/>
    </x:row>
    <x:row r="301">
      <x:c r="D301" s="46"/>
    </x:row>
    <x:row r="302">
      <x:c r="D302" s="46"/>
    </x:row>
    <x:row r="303">
      <x:c r="D303" s="46"/>
    </x:row>
    <x:row r="304">
      <x:c r="D304" s="46"/>
    </x:row>
    <x:row r="305">
      <x:c r="D305" s="46"/>
    </x:row>
    <x:row r="306">
      <x:c r="D306" s="46"/>
    </x:row>
    <x:row r="307">
      <x:c r="D307" s="46"/>
    </x:row>
    <x:row r="308">
      <x:c r="D308" s="46"/>
    </x:row>
    <x:row r="309">
      <x:c r="D309" s="46"/>
    </x:row>
    <x:row r="310">
      <x:c r="D310" s="46"/>
    </x:row>
    <x:row r="311">
      <x:c r="D311" s="46"/>
    </x:row>
    <x:row r="312">
      <x:c r="D312" s="46"/>
    </x:row>
    <x:row r="313">
      <x:c r="D313" s="46"/>
    </x:row>
    <x:row r="314">
      <x:c r="D314" s="46"/>
    </x:row>
    <x:row r="315">
      <x:c r="D315" s="46"/>
    </x:row>
    <x:row r="316">
      <x:c r="D316" s="46"/>
    </x:row>
    <x:row r="317">
      <x:c r="D317" s="46"/>
    </x:row>
    <x:row r="318">
      <x:c r="D318" s="46"/>
    </x:row>
    <x:row r="319">
      <x:c r="D319" s="46"/>
    </x:row>
    <x:row r="320">
      <x:c r="D320" s="46"/>
    </x:row>
    <x:row r="321">
      <x:c r="D321" s="46"/>
    </x:row>
    <x:row r="322">
      <x:c r="D322" s="46"/>
    </x:row>
    <x:row r="323">
      <x:c r="D323" s="46"/>
    </x:row>
    <x:row r="324">
      <x:c r="D324" s="46"/>
    </x:row>
    <x:row r="325">
      <x:c r="D325" s="46"/>
    </x:row>
    <x:row r="326">
      <x:c r="D326" s="46"/>
    </x:row>
    <x:row r="327">
      <x:c r="D327" s="46"/>
    </x:row>
    <x:row r="328">
      <x:c r="D328" s="46"/>
    </x:row>
    <x:row r="329">
      <x:c r="D329" s="46"/>
    </x:row>
    <x:row r="330">
      <x:c r="D330" s="46"/>
    </x:row>
    <x:row r="331">
      <x:c r="D331" s="46"/>
    </x:row>
    <x:row r="332">
      <x:c r="D332" s="46"/>
    </x:row>
    <x:row r="333">
      <x:c r="D333" s="46"/>
    </x:row>
    <x:row r="334">
      <x:c r="D334" s="46"/>
    </x:row>
    <x:row r="335">
      <x:c r="D335" s="46"/>
    </x:row>
    <x:row r="336">
      <x:c r="D336" s="46"/>
    </x:row>
    <x:row r="337">
      <x:c r="D337" s="46"/>
    </x:row>
    <x:row r="338">
      <x:c r="D338" s="46"/>
    </x:row>
    <x:row r="339">
      <x:c r="D339" s="46"/>
    </x:row>
    <x:row r="340">
      <x:c r="D340" s="46"/>
    </x:row>
    <x:row r="341">
      <x:c r="D341" s="46"/>
    </x:row>
    <x:row r="342">
      <x:c r="D342" s="46"/>
    </x:row>
    <x:row r="343">
      <x:c r="D343" s="46"/>
    </x:row>
    <x:row r="344">
      <x:c r="D344" s="46"/>
    </x:row>
    <x:row r="345">
      <x:c r="D345" s="46"/>
    </x:row>
    <x:row r="346">
      <x:c r="D346" s="46"/>
    </x:row>
    <x:row r="347">
      <x:c r="D347" s="46"/>
    </x:row>
    <x:row r="348">
      <x:c r="D348" s="46"/>
    </x:row>
    <x:row r="349">
      <x:c r="D349" s="46"/>
    </x:row>
    <x:row r="350">
      <x:c r="D350" s="46"/>
    </x:row>
    <x:row r="351">
      <x:c r="D351" s="46"/>
    </x:row>
    <x:row r="352">
      <x:c r="D352" s="46"/>
    </x:row>
    <x:row r="353">
      <x:c r="D353" s="46"/>
    </x:row>
    <x:row r="354">
      <x:c r="D354" s="46"/>
    </x:row>
    <x:row r="355">
      <x:c r="D355" s="46"/>
    </x:row>
    <x:row r="356">
      <x:c r="D356" s="46"/>
    </x:row>
    <x:row r="357">
      <x:c r="D357" s="46"/>
    </x:row>
    <x:row r="358">
      <x:c r="D358" s="46"/>
    </x:row>
    <x:row r="359">
      <x:c r="D359" s="46"/>
    </x:row>
    <x:row r="360">
      <x:c r="D360" s="46"/>
    </x:row>
    <x:row r="361">
      <x:c r="D361" s="46"/>
    </x:row>
    <x:row r="362">
      <x:c r="D362" s="46"/>
    </x:row>
    <x:row r="363">
      <x:c r="D363" s="46"/>
    </x:row>
    <x:row r="364">
      <x:c r="D364" s="46"/>
    </x:row>
    <x:row r="365">
      <x:c r="D365" s="46"/>
    </x:row>
    <x:row r="366">
      <x:c r="D366" s="46"/>
    </x:row>
    <x:row r="367">
      <x:c r="D367" s="46"/>
    </x:row>
    <x:row r="368">
      <x:c r="D368" s="46"/>
    </x:row>
    <x:row r="369">
      <x:c r="D369" s="46"/>
    </x:row>
    <x:row r="370">
      <x:c r="D370" s="46"/>
    </x:row>
    <x:row r="371">
      <x:c r="D371" s="46"/>
    </x:row>
    <x:row r="372">
      <x:c r="D372" s="46"/>
    </x:row>
    <x:row r="373">
      <x:c r="D373" s="46"/>
    </x:row>
    <x:row r="374">
      <x:c r="D374" s="46"/>
    </x:row>
    <x:row r="375">
      <x:c r="D375" s="46"/>
    </x:row>
    <x:row r="376">
      <x:c r="D376" s="46"/>
    </x:row>
    <x:row r="377">
      <x:c r="D377" s="46"/>
    </x:row>
    <x:row r="378">
      <x:c r="D378" s="46"/>
    </x:row>
    <x:row r="379">
      <x:c r="D379" s="46"/>
    </x:row>
    <x:row r="380">
      <x:c r="D380" s="46"/>
    </x:row>
    <x:row r="381">
      <x:c r="D381" s="46"/>
    </x:row>
    <x:row r="382">
      <x:c r="D382" s="46"/>
    </x:row>
    <x:row r="383">
      <x:c r="D383" s="46"/>
    </x:row>
    <x:row r="384">
      <x:c r="D384" s="46"/>
    </x:row>
    <x:row r="385">
      <x:c r="D385" s="46"/>
    </x:row>
    <x:row r="386">
      <x:c r="D386" s="46"/>
    </x:row>
    <x:row r="387">
      <x:c r="D387" s="46"/>
    </x:row>
    <x:row r="388">
      <x:c r="D388" s="46"/>
    </x:row>
    <x:row r="389">
      <x:c r="D389" s="46"/>
    </x:row>
    <x:row r="390">
      <x:c r="D390" s="46"/>
    </x:row>
    <x:row r="391">
      <x:c r="D391" s="46"/>
    </x:row>
    <x:row r="392">
      <x:c r="D392" s="46"/>
    </x:row>
    <x:row r="393">
      <x:c r="D393" s="46"/>
    </x:row>
    <x:row r="394">
      <x:c r="D394" s="46"/>
    </x:row>
    <x:row r="395">
      <x:c r="D395" s="46"/>
    </x:row>
    <x:row r="396">
      <x:c r="D396" s="46"/>
    </x:row>
    <x:row r="397">
      <x:c r="D397" s="46"/>
    </x:row>
    <x:row r="398">
      <x:c r="D398" s="46"/>
    </x:row>
    <x:row r="399">
      <x:c r="D399" s="46"/>
    </x:row>
    <x:row r="400">
      <x:c r="D400" s="46"/>
    </x:row>
    <x:row r="401">
      <x:c r="D401" s="46"/>
    </x:row>
    <x:row r="402">
      <x:c r="D402" s="46"/>
    </x:row>
    <x:row r="403">
      <x:c r="D403" s="46"/>
    </x:row>
    <x:row r="404">
      <x:c r="D404" s="46"/>
    </x:row>
    <x:row r="405">
      <x:c r="D405" s="46"/>
    </x:row>
    <x:row r="406">
      <x:c r="D406" s="46"/>
    </x:row>
    <x:row r="407">
      <x:c r="D407" s="46"/>
    </x:row>
    <x:row r="408">
      <x:c r="D408" s="46"/>
    </x:row>
    <x:row r="409">
      <x:c r="D409" s="46"/>
    </x:row>
    <x:row r="410">
      <x:c r="D410" s="46"/>
    </x:row>
    <x:row r="411">
      <x:c r="D411" s="46"/>
    </x:row>
    <x:row r="412">
      <x:c r="D412" s="46"/>
    </x:row>
    <x:row r="413">
      <x:c r="D413" s="46"/>
    </x:row>
    <x:row r="414">
      <x:c r="D414" s="46"/>
    </x:row>
    <x:row r="415">
      <x:c r="D415" s="46"/>
    </x:row>
    <x:row r="416">
      <x:c r="D416" s="46"/>
    </x:row>
    <x:row r="417">
      <x:c r="D417" s="46"/>
    </x:row>
    <x:row r="418">
      <x:c r="D418" s="46"/>
    </x:row>
    <x:row r="419">
      <x:c r="D419" s="46"/>
    </x:row>
    <x:row r="420">
      <x:c r="D420" s="46"/>
    </x:row>
    <x:row r="421">
      <x:c r="D421" s="46"/>
    </x:row>
    <x:row r="422">
      <x:c r="D422" s="46"/>
    </x:row>
    <x:row r="423">
      <x:c r="D423" s="46"/>
    </x:row>
    <x:row r="424">
      <x:c r="D424" s="46"/>
    </x:row>
    <x:row r="425">
      <x:c r="D425" s="46"/>
    </x:row>
    <x:row r="426">
      <x:c r="D426" s="46"/>
    </x:row>
    <x:row r="427">
      <x:c r="D427" s="46"/>
    </x:row>
    <x:row r="428">
      <x:c r="D428" s="46"/>
    </x:row>
    <x:row r="429">
      <x:c r="D429" s="46"/>
    </x:row>
    <x:row r="430">
      <x:c r="D430" s="46"/>
    </x:row>
    <x:row r="431">
      <x:c r="D431" s="46"/>
    </x:row>
    <x:row r="432">
      <x:c r="D432" s="46"/>
    </x:row>
    <x:row r="433">
      <x:c r="D433" s="46"/>
    </x:row>
    <x:row r="434">
      <x:c r="D434" s="46"/>
    </x:row>
    <x:row r="435">
      <x:c r="D435" s="46"/>
    </x:row>
    <x:row r="436">
      <x:c r="D436" s="46"/>
    </x:row>
    <x:row r="437">
      <x:c r="D437" s="46"/>
    </x:row>
    <x:row r="438">
      <x:c r="D438" s="46"/>
    </x:row>
    <x:row r="439">
      <x:c r="D439" s="46"/>
    </x:row>
    <x:row r="440">
      <x:c r="D440" s="46"/>
    </x:row>
    <x:row r="441">
      <x:c r="D441" s="46"/>
    </x:row>
    <x:row r="442">
      <x:c r="D442" s="46"/>
    </x:row>
    <x:row r="443">
      <x:c r="D443" s="46"/>
    </x:row>
    <x:row r="444">
      <x:c r="D444" s="46"/>
    </x:row>
    <x:row r="445">
      <x:c r="D445" s="46"/>
    </x:row>
    <x:row r="446">
      <x:c r="D446" s="46"/>
    </x:row>
    <x:row r="447">
      <x:c r="D447" s="46"/>
    </x:row>
    <x:row r="448">
      <x:c r="D448" s="46"/>
    </x:row>
    <x:row r="449">
      <x:c r="D449" s="46"/>
    </x:row>
    <x:row r="450">
      <x:c r="D450" s="46"/>
    </x:row>
    <x:row r="451">
      <x:c r="D451" s="46"/>
    </x:row>
    <x:row r="452">
      <x:c r="D452" s="46"/>
    </x:row>
    <x:row r="453">
      <x:c r="D453" s="46"/>
    </x:row>
    <x:row r="454">
      <x:c r="D454" s="46"/>
    </x:row>
    <x:row r="455">
      <x:c r="D455" s="46"/>
    </x:row>
    <x:row r="456">
      <x:c r="D456" s="46"/>
    </x:row>
    <x:row r="457">
      <x:c r="D457" s="46"/>
    </x:row>
    <x:row r="458">
      <x:c r="D458" s="46"/>
    </x:row>
    <x:row r="459">
      <x:c r="D459" s="46"/>
    </x:row>
    <x:row r="460">
      <x:c r="D460" s="46"/>
    </x:row>
    <x:row r="461">
      <x:c r="D461" s="46"/>
    </x:row>
    <x:row r="462">
      <x:c r="D462" s="46"/>
    </x:row>
    <x:row r="463">
      <x:c r="D463" s="46"/>
    </x:row>
    <x:row r="464">
      <x:c r="D464" s="46"/>
    </x:row>
    <x:row r="465">
      <x:c r="D465" s="46"/>
    </x:row>
    <x:row r="466">
      <x:c r="D466" s="46"/>
    </x:row>
    <x:row r="467">
      <x:c r="D467" s="46"/>
    </x:row>
    <x:row r="468">
      <x:c r="D468" s="46"/>
    </x:row>
    <x:row r="469">
      <x:c r="D469" s="46"/>
    </x:row>
    <x:row r="470">
      <x:c r="D470" s="46"/>
    </x:row>
    <x:row r="471">
      <x:c r="D471" s="46"/>
    </x:row>
    <x:row r="472">
      <x:c r="D472" s="46"/>
    </x:row>
    <x:row r="473">
      <x:c r="D473" s="46"/>
    </x:row>
    <x:row r="474">
      <x:c r="D474" s="46"/>
    </x:row>
    <x:row r="475">
      <x:c r="D475" s="46"/>
    </x:row>
    <x:row r="476">
      <x:c r="D476" s="46"/>
    </x:row>
    <x:row r="477">
      <x:c r="D477" s="46"/>
    </x:row>
    <x:row r="478">
      <x:c r="D478" s="46"/>
    </x:row>
    <x:row r="479">
      <x:c r="D479" s="46"/>
    </x:row>
    <x:row r="480">
      <x:c r="D480" s="46"/>
    </x:row>
    <x:row r="481">
      <x:c r="D481" s="46"/>
    </x:row>
    <x:row r="482">
      <x:c r="D482" s="46"/>
    </x:row>
    <x:row r="483">
      <x:c r="D483" s="46"/>
    </x:row>
    <x:row r="484">
      <x:c r="D484" s="46"/>
    </x:row>
    <x:row r="485">
      <x:c r="D485" s="46"/>
    </x:row>
    <x:row r="486">
      <x:c r="D486" s="46"/>
    </x:row>
    <x:row r="487">
      <x:c r="D487" s="46"/>
    </x:row>
    <x:row r="488">
      <x:c r="D488" s="46"/>
    </x:row>
    <x:row r="489">
      <x:c r="D489" s="46"/>
    </x:row>
    <x:row r="490">
      <x:c r="D490" s="46"/>
    </x:row>
    <x:row r="491">
      <x:c r="D491" s="46"/>
    </x:row>
    <x:row r="492">
      <x:c r="D492" s="46"/>
    </x:row>
    <x:row r="493">
      <x:c r="D493" s="46"/>
    </x:row>
    <x:row r="494">
      <x:c r="D494" s="46"/>
    </x:row>
    <x:row r="495">
      <x:c r="D495" s="46"/>
    </x:row>
    <x:row r="496">
      <x:c r="D496" s="46"/>
    </x:row>
    <x:row r="497">
      <x:c r="D497" s="46"/>
    </x:row>
    <x:row r="498">
      <x:c r="D498" s="46"/>
    </x:row>
    <x:row r="499">
      <x:c r="D499" s="46"/>
    </x:row>
    <x:row r="500">
      <x:c r="D500" s="46"/>
    </x:row>
    <x:row r="501">
      <x:c r="D501" s="46"/>
    </x:row>
    <x:row r="502">
      <x:c r="D502" s="46"/>
    </x:row>
    <x:row r="503">
      <x:c r="D503" s="46"/>
    </x:row>
    <x:row r="504">
      <x:c r="D504" s="46"/>
    </x:row>
    <x:row r="505">
      <x:c r="D505" s="46"/>
    </x:row>
    <x:row r="506">
      <x:c r="D506" s="46"/>
    </x:row>
    <x:row r="507">
      <x:c r="D507" s="46"/>
    </x:row>
    <x:row r="508">
      <x:c r="D508" s="46"/>
    </x:row>
    <x:row r="509">
      <x:c r="D509" s="46"/>
    </x:row>
    <x:row r="510">
      <x:c r="D510" s="46"/>
    </x:row>
    <x:row r="511">
      <x:c r="D511" s="46"/>
    </x:row>
    <x:row r="512">
      <x:c r="D512" s="46"/>
    </x:row>
    <x:row r="513">
      <x:c r="D513" s="46"/>
    </x:row>
    <x:row r="514">
      <x:c r="D514" s="46"/>
    </x:row>
    <x:row r="515">
      <x:c r="D515" s="46"/>
    </x:row>
    <x:row r="516">
      <x:c r="D516" s="46"/>
    </x:row>
    <x:row r="517">
      <x:c r="D517" s="46"/>
    </x:row>
    <x:row r="518">
      <x:c r="D518" s="46"/>
    </x:row>
    <x:row r="519">
      <x:c r="D519" s="46"/>
    </x:row>
    <x:row r="520">
      <x:c r="D520" s="46"/>
    </x:row>
    <x:row r="521">
      <x:c r="D521" s="46"/>
    </x:row>
    <x:row r="522">
      <x:c r="D522" s="46"/>
    </x:row>
    <x:row r="523">
      <x:c r="D523" s="46"/>
    </x:row>
    <x:row r="524">
      <x:c r="D524" s="46"/>
    </x:row>
    <x:row r="525">
      <x:c r="D525" s="46"/>
    </x:row>
    <x:row r="526">
      <x:c r="D526" s="46"/>
    </x:row>
    <x:row r="527">
      <x:c r="D527" s="46"/>
    </x:row>
    <x:row r="528">
      <x:c r="D528" s="46"/>
    </x:row>
    <x:row r="529">
      <x:c r="D529" s="46"/>
    </x:row>
    <x:row r="530">
      <x:c r="D530" s="46"/>
    </x:row>
    <x:row r="531">
      <x:c r="D531" s="46"/>
    </x:row>
    <x:row r="532">
      <x:c r="D532" s="46"/>
    </x:row>
    <x:row r="533">
      <x:c r="D533" s="46"/>
    </x:row>
    <x:row r="534">
      <x:c r="D534" s="46"/>
    </x:row>
    <x:row r="535">
      <x:c r="D535" s="46"/>
    </x:row>
    <x:row r="536">
      <x:c r="D536" s="46"/>
    </x:row>
    <x:row r="537">
      <x:c r="D537" s="46"/>
    </x:row>
    <x:row r="538">
      <x:c r="D538" s="46"/>
    </x:row>
    <x:row r="539">
      <x:c r="D539" s="46"/>
    </x:row>
    <x:row r="540">
      <x:c r="D540" s="46"/>
    </x:row>
    <x:row r="541">
      <x:c r="D541" s="46"/>
    </x:row>
    <x:row r="542">
      <x:c r="D542" s="46"/>
    </x:row>
    <x:row r="543">
      <x:c r="D543" s="46"/>
    </x:row>
    <x:row r="544">
      <x:c r="D544" s="46"/>
    </x:row>
    <x:row r="545">
      <x:c r="D545" s="46"/>
    </x:row>
    <x:row r="546">
      <x:c r="D546" s="46"/>
    </x:row>
    <x:row r="547">
      <x:c r="D547" s="46"/>
    </x:row>
    <x:row r="548">
      <x:c r="D548" s="46"/>
    </x:row>
    <x:row r="549">
      <x:c r="D549" s="46"/>
    </x:row>
    <x:row r="550">
      <x:c r="D550" s="46"/>
    </x:row>
    <x:row r="551">
      <x:c r="D551" s="46"/>
    </x:row>
    <x:row r="552">
      <x:c r="D552" s="46"/>
    </x:row>
    <x:row r="553">
      <x:c r="D553" s="46"/>
    </x:row>
    <x:row r="554">
      <x:c r="D554" s="46"/>
    </x:row>
    <x:row r="555">
      <x:c r="D555" s="46"/>
    </x:row>
    <x:row r="556">
      <x:c r="D556" s="46"/>
    </x:row>
    <x:row r="557">
      <x:c r="D557" s="46"/>
    </x:row>
    <x:row r="558">
      <x:c r="D558" s="46"/>
    </x:row>
    <x:row r="559">
      <x:c r="D559" s="46"/>
    </x:row>
    <x:row r="560">
      <x:c r="D560" s="46"/>
    </x:row>
    <x:row r="561">
      <x:c r="D561" s="46"/>
    </x:row>
    <x:row r="562">
      <x:c r="D562" s="46"/>
    </x:row>
    <x:row r="563">
      <x:c r="D563" s="46"/>
    </x:row>
    <x:row r="564">
      <x:c r="D564" s="46"/>
    </x:row>
    <x:row r="565">
      <x:c r="D565" s="46"/>
    </x:row>
    <x:row r="566">
      <x:c r="D566" s="46"/>
    </x:row>
    <x:row r="567">
      <x:c r="D567" s="46"/>
    </x:row>
    <x:row r="568">
      <x:c r="D568" s="46"/>
    </x:row>
    <x:row r="569">
      <x:c r="D569" s="46"/>
    </x:row>
    <x:row r="570">
      <x:c r="D570" s="46"/>
    </x:row>
    <x:row r="571">
      <x:c r="D571" s="46"/>
    </x:row>
    <x:row r="572">
      <x:c r="D572" s="46"/>
    </x:row>
    <x:row r="573">
      <x:c r="D573" s="46"/>
    </x:row>
    <x:row r="574">
      <x:c r="D574" s="46"/>
    </x:row>
    <x:row r="575">
      <x:c r="D575" s="46"/>
    </x:row>
    <x:row r="576">
      <x:c r="D576" s="46"/>
    </x:row>
    <x:row r="577">
      <x:c r="D577" s="46"/>
    </x:row>
    <x:row r="578">
      <x:c r="D578" s="46"/>
    </x:row>
    <x:row r="579">
      <x:c r="D579" s="46"/>
    </x:row>
    <x:row r="580">
      <x:c r="D580" s="46"/>
    </x:row>
    <x:row r="581">
      <x:c r="D581" s="46"/>
    </x:row>
    <x:row r="582">
      <x:c r="D582" s="46"/>
    </x:row>
    <x:row r="583">
      <x:c r="D583" s="46"/>
    </x:row>
    <x:row r="584">
      <x:c r="D584" s="46"/>
    </x:row>
    <x:row r="585">
      <x:c r="D585" s="46"/>
    </x:row>
    <x:row r="586">
      <x:c r="D586" s="46"/>
    </x:row>
    <x:row r="587">
      <x:c r="D587" s="46"/>
    </x:row>
    <x:row r="588">
      <x:c r="D588" s="46"/>
    </x:row>
    <x:row r="589">
      <x:c r="D589" s="46"/>
    </x:row>
    <x:row r="590">
      <x:c r="D590" s="46"/>
    </x:row>
    <x:row r="591">
      <x:c r="D591" s="46"/>
    </x:row>
    <x:row r="592">
      <x:c r="D592" s="46"/>
    </x:row>
    <x:row r="593">
      <x:c r="D593" s="46"/>
    </x:row>
    <x:row r="594">
      <x:c r="D594" s="46"/>
    </x:row>
    <x:row r="595">
      <x:c r="D595" s="46"/>
    </x:row>
    <x:row r="596">
      <x:c r="D596" s="46"/>
    </x:row>
    <x:row r="597">
      <x:c r="D597" s="46"/>
    </x:row>
    <x:row r="598">
      <x:c r="D598" s="46"/>
    </x:row>
    <x:row r="599">
      <x:c r="D599" s="46"/>
    </x:row>
    <x:row r="600">
      <x:c r="D600" s="46"/>
    </x:row>
    <x:row r="601">
      <x:c r="D601" s="46"/>
    </x:row>
    <x:row r="602">
      <x:c r="D602" s="46"/>
    </x:row>
    <x:row r="603">
      <x:c r="D603" s="46"/>
    </x:row>
    <x:row r="604">
      <x:c r="D604" s="46"/>
    </x:row>
    <x:row r="605">
      <x:c r="D605" s="46"/>
    </x:row>
    <x:row r="606">
      <x:c r="D606" s="46"/>
    </x:row>
    <x:row r="607">
      <x:c r="D607" s="46"/>
    </x:row>
    <x:row r="608">
      <x:c r="D608" s="46"/>
    </x:row>
    <x:row r="609">
      <x:c r="D609" s="46"/>
    </x:row>
    <x:row r="610">
      <x:c r="D610" s="46"/>
    </x:row>
    <x:row r="611">
      <x:c r="D611" s="46"/>
    </x:row>
    <x:row r="612">
      <x:c r="D612" s="46"/>
    </x:row>
    <x:row r="613">
      <x:c r="D613" s="46"/>
    </x:row>
    <x:row r="614">
      <x:c r="D614" s="46"/>
    </x:row>
    <x:row r="615">
      <x:c r="D615" s="46"/>
    </x:row>
    <x:row r="616">
      <x:c r="D616" s="46"/>
    </x:row>
    <x:row r="617">
      <x:c r="D617" s="46"/>
    </x:row>
    <x:row r="618">
      <x:c r="D618" s="46"/>
    </x:row>
    <x:row r="619">
      <x:c r="D619" s="46"/>
    </x:row>
    <x:row r="620">
      <x:c r="D620" s="46"/>
    </x:row>
    <x:row r="621">
      <x:c r="D621" s="46"/>
    </x:row>
    <x:row r="622">
      <x:c r="D622" s="46"/>
    </x:row>
    <x:row r="623">
      <x:c r="D623" s="46"/>
    </x:row>
    <x:row r="624">
      <x:c r="D624" s="46"/>
    </x:row>
    <x:row r="625">
      <x:c r="D625" s="46"/>
    </x:row>
    <x:row r="626">
      <x:c r="D626" s="46"/>
    </x:row>
    <x:row r="627">
      <x:c r="D627" s="46"/>
    </x:row>
    <x:row r="628">
      <x:c r="D628" s="46"/>
    </x:row>
    <x:row r="629">
      <x:c r="D629" s="46"/>
    </x:row>
    <x:row r="630">
      <x:c r="D630" s="46"/>
    </x:row>
    <x:row r="631">
      <x:c r="D631" s="46"/>
    </x:row>
    <x:row r="632">
      <x:c r="D632" s="46"/>
    </x:row>
    <x:row r="633">
      <x:c r="D633" s="46"/>
    </x:row>
    <x:row r="634">
      <x:c r="D634" s="46"/>
    </x:row>
    <x:row r="635">
      <x:c r="D635" s="46"/>
    </x:row>
    <x:row r="636">
      <x:c r="D636" s="46"/>
    </x:row>
    <x:row r="637">
      <x:c r="D637" s="46"/>
    </x:row>
    <x:row r="638">
      <x:c r="D638" s="46"/>
    </x:row>
    <x:row r="639">
      <x:c r="D639" s="46"/>
    </x:row>
    <x:row r="640">
      <x:c r="D640" s="46"/>
    </x:row>
    <x:row r="641">
      <x:c r="D641" s="46"/>
    </x:row>
    <x:row r="642">
      <x:c r="D642" s="46"/>
    </x:row>
    <x:row r="643">
      <x:c r="D643" s="46"/>
    </x:row>
    <x:row r="644">
      <x:c r="D644" s="46"/>
    </x:row>
    <x:row r="645">
      <x:c r="D645" s="46"/>
    </x:row>
    <x:row r="646">
      <x:c r="D646" s="46"/>
    </x:row>
    <x:row r="647">
      <x:c r="D647" s="46"/>
    </x:row>
    <x:row r="648">
      <x:c r="D648" s="46"/>
    </x:row>
    <x:row r="649">
      <x:c r="D649" s="46"/>
    </x:row>
    <x:row r="650">
      <x:c r="D650" s="46"/>
    </x:row>
    <x:row r="651">
      <x:c r="D651" s="46"/>
    </x:row>
    <x:row r="652">
      <x:c r="D652" s="46"/>
    </x:row>
    <x:row r="653">
      <x:c r="D653" s="46"/>
    </x:row>
    <x:row r="654">
      <x:c r="D654" s="46"/>
    </x:row>
    <x:row r="655">
      <x:c r="D655" s="46"/>
    </x:row>
    <x:row r="656">
      <x:c r="D656" s="46"/>
    </x:row>
    <x:row r="657">
      <x:c r="D657" s="46"/>
    </x:row>
    <x:row r="658">
      <x:c r="D658" s="46"/>
    </x:row>
    <x:row r="659">
      <x:c r="D659" s="46"/>
    </x:row>
    <x:row r="660">
      <x:c r="D660" s="46"/>
    </x:row>
    <x:row r="661">
      <x:c r="D661" s="46"/>
    </x:row>
    <x:row r="662">
      <x:c r="D662" s="46"/>
    </x:row>
    <x:row r="663">
      <x:c r="D663" s="46"/>
    </x:row>
    <x:row r="664">
      <x:c r="D664" s="46"/>
    </x:row>
    <x:row r="665">
      <x:c r="D665" s="46"/>
    </x:row>
    <x:row r="666">
      <x:c r="D666" s="46"/>
    </x:row>
    <x:row r="667">
      <x:c r="D667" s="46"/>
    </x:row>
    <x:row r="668">
      <x:c r="D668" s="46"/>
    </x:row>
    <x:row r="669">
      <x:c r="D669" s="46"/>
    </x:row>
    <x:row r="670">
      <x:c r="D670" s="46"/>
    </x:row>
    <x:row r="671">
      <x:c r="D671" s="46"/>
    </x:row>
    <x:row r="672">
      <x:c r="D672" s="46"/>
    </x:row>
    <x:row r="673">
      <x:c r="D673" s="46"/>
    </x:row>
    <x:row r="674">
      <x:c r="D674" s="46"/>
    </x:row>
    <x:row r="675">
      <x:c r="D675" s="46"/>
    </x:row>
    <x:row r="676">
      <x:c r="D676" s="46"/>
    </x:row>
    <x:row r="677">
      <x:c r="D677" s="46"/>
    </x:row>
    <x:row r="678">
      <x:c r="D678" s="46"/>
    </x:row>
    <x:row r="679">
      <x:c r="D679" s="46"/>
    </x:row>
    <x:row r="680">
      <x:c r="D680" s="46"/>
    </x:row>
    <x:row r="681">
      <x:c r="D681" s="46"/>
    </x:row>
    <x:row r="682">
      <x:c r="D682" s="46"/>
    </x:row>
    <x:row r="683">
      <x:c r="D683" s="46"/>
    </x:row>
    <x:row r="684">
      <x:c r="D684" s="46"/>
    </x:row>
    <x:row r="685">
      <x:c r="D685" s="46"/>
    </x:row>
    <x:row r="686">
      <x:c r="D686" s="46"/>
    </x:row>
    <x:row r="687">
      <x:c r="D687" s="46"/>
    </x:row>
    <x:row r="688">
      <x:c r="D688" s="46"/>
    </x:row>
    <x:row r="689">
      <x:c r="D689" s="46"/>
    </x:row>
    <x:row r="690">
      <x:c r="D690" s="46"/>
    </x:row>
    <x:row r="691">
      <x:c r="D691" s="46"/>
    </x:row>
    <x:row r="692">
      <x:c r="D692" s="46"/>
    </x:row>
    <x:row r="693">
      <x:c r="D693" s="46"/>
    </x:row>
    <x:row r="694">
      <x:c r="D694" s="46"/>
    </x:row>
    <x:row r="695">
      <x:c r="D695" s="46"/>
    </x:row>
    <x:row r="696">
      <x:c r="D696" s="46"/>
    </x:row>
    <x:row r="697">
      <x:c r="D697" s="46"/>
    </x:row>
    <x:row r="698">
      <x:c r="D698" s="46"/>
    </x:row>
    <x:row r="699">
      <x:c r="D699" s="46"/>
    </x:row>
    <x:row r="700">
      <x:c r="D700" s="46"/>
    </x:row>
    <x:row r="701">
      <x:c r="D701" s="46"/>
    </x:row>
    <x:row r="702">
      <x:c r="D702" s="46"/>
    </x:row>
    <x:row r="703">
      <x:c r="D703" s="46"/>
    </x:row>
    <x:row r="704">
      <x:c r="D704" s="46"/>
    </x:row>
    <x:row r="705">
      <x:c r="D705" s="46"/>
    </x:row>
    <x:row r="706">
      <x:c r="D706" s="46"/>
    </x:row>
    <x:row r="707">
      <x:c r="D707" s="46"/>
    </x:row>
    <x:row r="708">
      <x:c r="D708" s="46"/>
    </x:row>
    <x:row r="709">
      <x:c r="D709" s="46"/>
    </x:row>
    <x:row r="710">
      <x:c r="D710" s="46"/>
    </x:row>
    <x:row r="711">
      <x:c r="D711" s="46"/>
    </x:row>
    <x:row r="712">
      <x:c r="D712" s="46"/>
    </x:row>
    <x:row r="713">
      <x:c r="D713" s="46"/>
    </x:row>
    <x:row r="714">
      <x:c r="D714" s="46"/>
    </x:row>
    <x:row r="715">
      <x:c r="D715" s="46"/>
    </x:row>
    <x:row r="716">
      <x:c r="D716" s="46"/>
    </x:row>
    <x:row r="717">
      <x:c r="D717" s="46"/>
    </x:row>
    <x:row r="718">
      <x:c r="D718" s="46"/>
    </x:row>
    <x:row r="719">
      <x:c r="D719" s="46"/>
    </x:row>
    <x:row r="720">
      <x:c r="D720" s="46"/>
    </x:row>
    <x:row r="721">
      <x:c r="D721" s="46"/>
    </x:row>
    <x:row r="722">
      <x:c r="D722" s="46"/>
    </x:row>
    <x:row r="723">
      <x:c r="D723" s="46"/>
    </x:row>
    <x:row r="724">
      <x:c r="D724" s="46"/>
    </x:row>
    <x:row r="725">
      <x:c r="D725" s="46"/>
    </x:row>
    <x:row r="726">
      <x:c r="D726" s="46"/>
    </x:row>
    <x:row r="727">
      <x:c r="D727" s="46"/>
    </x:row>
    <x:row r="728">
      <x:c r="D728" s="46"/>
    </x:row>
    <x:row r="729">
      <x:c r="D729" s="46"/>
    </x:row>
    <x:row r="730">
      <x:c r="D730" s="46"/>
    </x:row>
    <x:row r="731">
      <x:c r="D731" s="46"/>
    </x:row>
    <x:row r="732">
      <x:c r="D732" s="46"/>
    </x:row>
    <x:row r="733">
      <x:c r="D733" s="46"/>
    </x:row>
    <x:row r="734">
      <x:c r="D734" s="46"/>
    </x:row>
    <x:row r="735">
      <x:c r="D735" s="46"/>
    </x:row>
    <x:row r="736">
      <x:c r="D736" s="46"/>
    </x:row>
    <x:row r="737">
      <x:c r="D737" s="46"/>
    </x:row>
    <x:row r="738">
      <x:c r="D738" s="46"/>
    </x:row>
    <x:row r="739">
      <x:c r="D739" s="46"/>
    </x:row>
    <x:row r="740">
      <x:c r="D740" s="46"/>
    </x:row>
    <x:row r="741">
      <x:c r="D741" s="46"/>
    </x:row>
    <x:row r="742">
      <x:c r="D742" s="46"/>
    </x:row>
    <x:row r="743">
      <x:c r="D743" s="46"/>
    </x:row>
    <x:row r="744">
      <x:c r="D744" s="46"/>
    </x:row>
    <x:row r="745">
      <x:c r="D745" s="46"/>
    </x:row>
    <x:row r="746">
      <x:c r="D746" s="46"/>
    </x:row>
    <x:row r="747">
      <x:c r="D747" s="46"/>
    </x:row>
    <x:row r="748">
      <x:c r="D748" s="46"/>
    </x:row>
    <x:row r="749">
      <x:c r="D749" s="46"/>
    </x:row>
    <x:row r="750">
      <x:c r="D750" s="46"/>
    </x:row>
    <x:row r="751">
      <x:c r="D751" s="46"/>
    </x:row>
    <x:row r="752">
      <x:c r="D752" s="46"/>
    </x:row>
    <x:row r="753">
      <x:c r="D753" s="46"/>
    </x:row>
    <x:row r="754">
      <x:c r="D754" s="46"/>
    </x:row>
    <x:row r="755">
      <x:c r="D755" s="46"/>
    </x:row>
    <x:row r="756">
      <x:c r="D756" s="46"/>
    </x:row>
    <x:row r="757">
      <x:c r="D757" s="46"/>
    </x:row>
    <x:row r="758">
      <x:c r="D758" s="46"/>
    </x:row>
    <x:row r="759">
      <x:c r="D759" s="46"/>
    </x:row>
    <x:row r="760">
      <x:c r="D760" s="46"/>
    </x:row>
    <x:row r="761">
      <x:c r="D761" s="46"/>
    </x:row>
    <x:row r="762">
      <x:c r="D762" s="46"/>
    </x:row>
    <x:row r="763">
      <x:c r="D763" s="46"/>
    </x:row>
    <x:row r="764">
      <x:c r="D764" s="46"/>
    </x:row>
    <x:row r="765">
      <x:c r="D765" s="46"/>
    </x:row>
    <x:row r="766">
      <x:c r="D766" s="46"/>
    </x:row>
    <x:row r="767">
      <x:c r="D767" s="46"/>
    </x:row>
    <x:row r="768">
      <x:c r="D768" s="46"/>
    </x:row>
    <x:row r="769">
      <x:c r="D769" s="46"/>
    </x:row>
    <x:row r="770">
      <x:c r="D770" s="46"/>
    </x:row>
    <x:row r="771">
      <x:c r="D771" s="46"/>
    </x:row>
    <x:row r="772">
      <x:c r="D772" s="46"/>
    </x:row>
    <x:row r="773">
      <x:c r="D773" s="46"/>
    </x:row>
    <x:row r="774">
      <x:c r="D774" s="46"/>
    </x:row>
    <x:row r="775">
      <x:c r="D775" s="46"/>
    </x:row>
    <x:row r="776">
      <x:c r="D776" s="46"/>
    </x:row>
    <x:row r="777">
      <x:c r="D777" s="46"/>
    </x:row>
    <x:row r="778">
      <x:c r="D778" s="46"/>
    </x:row>
    <x:row r="779">
      <x:c r="D779" s="46"/>
    </x:row>
    <x:row r="780">
      <x:c r="D780" s="46"/>
    </x:row>
    <x:row r="781">
      <x:c r="D781" s="46"/>
    </x:row>
    <x:row r="782">
      <x:c r="D782" s="46"/>
    </x:row>
    <x:row r="783">
      <x:c r="D783" s="46"/>
    </x:row>
    <x:row r="784">
      <x:c r="D784" s="46"/>
    </x:row>
    <x:row r="785">
      <x:c r="D785" s="46"/>
    </x:row>
    <x:row r="786">
      <x:c r="D786" s="46"/>
    </x:row>
    <x:row r="787">
      <x:c r="D787" s="46"/>
    </x:row>
    <x:row r="788">
      <x:c r="D788" s="46"/>
    </x:row>
    <x:row r="789">
      <x:c r="D789" s="46"/>
    </x:row>
    <x:row r="790">
      <x:c r="D790" s="46"/>
    </x:row>
    <x:row r="791">
      <x:c r="D791" s="46"/>
    </x:row>
    <x:row r="792">
      <x:c r="D792" s="46"/>
    </x:row>
    <x:row r="793">
      <x:c r="D793" s="46"/>
    </x:row>
    <x:row r="794">
      <x:c r="D794" s="46"/>
    </x:row>
    <x:row r="795">
      <x:c r="D795" s="46"/>
    </x:row>
    <x:row r="796">
      <x:c r="D796" s="46"/>
    </x:row>
    <x:row r="797">
      <x:c r="D797" s="46"/>
    </x:row>
    <x:row r="798">
      <x:c r="D798" s="46"/>
    </x:row>
    <x:row r="799">
      <x:c r="D799" s="46"/>
    </x:row>
    <x:row r="800">
      <x:c r="D800" s="46"/>
    </x:row>
    <x:row r="801">
      <x:c r="D801" s="46"/>
    </x:row>
    <x:row r="802">
      <x:c r="D802" s="46"/>
    </x:row>
    <x:row r="803">
      <x:c r="D803" s="46"/>
    </x:row>
    <x:row r="804">
      <x:c r="D804" s="46"/>
    </x:row>
    <x:row r="805">
      <x:c r="D805" s="46"/>
    </x:row>
    <x:row r="806">
      <x:c r="D806" s="46"/>
    </x:row>
    <x:row r="807">
      <x:c r="D807" s="46"/>
    </x:row>
    <x:row r="808">
      <x:c r="D808" s="46"/>
    </x:row>
    <x:row r="809">
      <x:c r="D809" s="46"/>
    </x:row>
    <x:row r="810">
      <x:c r="D810" s="46"/>
    </x:row>
    <x:row r="811">
      <x:c r="D811" s="46"/>
    </x:row>
    <x:row r="812">
      <x:c r="D812" s="46"/>
    </x:row>
    <x:row r="813">
      <x:c r="D813" s="46"/>
    </x:row>
    <x:row r="814">
      <x:c r="D814" s="46"/>
    </x:row>
    <x:row r="815">
      <x:c r="D815" s="46"/>
    </x:row>
    <x:row r="816">
      <x:c r="D816" s="46"/>
    </x:row>
    <x:row r="817">
      <x:c r="D817" s="46"/>
    </x:row>
    <x:row r="818">
      <x:c r="D818" s="46"/>
    </x:row>
    <x:row r="819">
      <x:c r="D819" s="46"/>
    </x:row>
    <x:row r="820">
      <x:c r="D820" s="46"/>
    </x:row>
    <x:row r="821">
      <x:c r="D821" s="46"/>
    </x:row>
    <x:row r="822">
      <x:c r="D822" s="46"/>
    </x:row>
    <x:row r="823">
      <x:c r="D823" s="46"/>
    </x:row>
    <x:row r="824">
      <x:c r="D824" s="46"/>
    </x:row>
    <x:row r="825">
      <x:c r="D825" s="46"/>
    </x:row>
    <x:row r="826">
      <x:c r="D826" s="46"/>
    </x:row>
    <x:row r="827">
      <x:c r="D827" s="46"/>
    </x:row>
    <x:row r="828">
      <x:c r="D828" s="46"/>
    </x:row>
    <x:row r="829">
      <x:c r="D829" s="46"/>
    </x:row>
    <x:row r="830">
      <x:c r="D830" s="46"/>
    </x:row>
    <x:row r="831">
      <x:c r="D831" s="46"/>
    </x:row>
    <x:row r="832">
      <x:c r="D832" s="46"/>
    </x:row>
    <x:row r="833">
      <x:c r="D833" s="46"/>
    </x:row>
    <x:row r="834">
      <x:c r="D834" s="46"/>
    </x:row>
    <x:row r="835">
      <x:c r="D835" s="46"/>
    </x:row>
    <x:row r="836">
      <x:c r="D836" s="46"/>
    </x:row>
    <x:row r="837">
      <x:c r="D837" s="46"/>
    </x:row>
    <x:row r="838">
      <x:c r="D838" s="46"/>
    </x:row>
    <x:row r="839">
      <x:c r="D839" s="46"/>
    </x:row>
    <x:row r="840">
      <x:c r="D840" s="46"/>
    </x:row>
    <x:row r="841">
      <x:c r="D841" s="46"/>
    </x:row>
    <x:row r="842">
      <x:c r="D842" s="46"/>
    </x:row>
    <x:row r="843">
      <x:c r="D843" s="46"/>
    </x:row>
    <x:row r="844">
      <x:c r="D844" s="46"/>
    </x:row>
    <x:row r="845">
      <x:c r="D845" s="46"/>
    </x:row>
    <x:row r="846">
      <x:c r="D846" s="46"/>
    </x:row>
    <x:row r="847">
      <x:c r="D847" s="46"/>
    </x:row>
    <x:row r="848">
      <x:c r="D848" s="46"/>
    </x:row>
    <x:row r="849">
      <x:c r="D849" s="46"/>
    </x:row>
    <x:row r="850">
      <x:c r="D850" s="46"/>
    </x:row>
    <x:row r="851">
      <x:c r="D851" s="46"/>
    </x:row>
    <x:row r="852">
      <x:c r="D852" s="46"/>
    </x:row>
    <x:row r="853">
      <x:c r="D853" s="46"/>
    </x:row>
    <x:row r="854">
      <x:c r="D854" s="46"/>
    </x:row>
    <x:row r="855">
      <x:c r="D855" s="46"/>
    </x:row>
    <x:row r="856">
      <x:c r="D856" s="46"/>
    </x:row>
    <x:row r="857">
      <x:c r="D857" s="46"/>
    </x:row>
    <x:row r="858">
      <x:c r="D858" s="46"/>
    </x:row>
    <x:row r="859">
      <x:c r="D859" s="46"/>
    </x:row>
    <x:row r="860">
      <x:c r="D860" s="46"/>
    </x:row>
    <x:row r="861">
      <x:c r="D861" s="46"/>
    </x:row>
    <x:row r="862">
      <x:c r="D862" s="46"/>
    </x:row>
    <x:row r="863">
      <x:c r="D863" s="46"/>
    </x:row>
    <x:row r="864">
      <x:c r="D864" s="46"/>
    </x:row>
    <x:row r="865">
      <x:c r="D865" s="46"/>
    </x:row>
    <x:row r="866">
      <x:c r="D866" s="46"/>
    </x:row>
    <x:row r="867">
      <x:c r="D867" s="46"/>
    </x:row>
    <x:row r="868">
      <x:c r="D868" s="46"/>
    </x:row>
    <x:row r="869">
      <x:c r="D869" s="46"/>
    </x:row>
    <x:row r="870">
      <x:c r="D870" s="46"/>
    </x:row>
    <x:row r="871">
      <x:c r="D871" s="46"/>
    </x:row>
    <x:row r="872">
      <x:c r="D872" s="46"/>
    </x:row>
    <x:row r="873">
      <x:c r="D873" s="46"/>
    </x:row>
    <x:row r="874">
      <x:c r="D874" s="46"/>
    </x:row>
    <x:row r="875">
      <x:c r="D875" s="46"/>
    </x:row>
    <x:row r="876">
      <x:c r="D876" s="46"/>
    </x:row>
    <x:row r="877">
      <x:c r="D877" s="46"/>
    </x:row>
    <x:row r="878">
      <x:c r="D878" s="46"/>
    </x:row>
    <x:row r="879">
      <x:c r="D879" s="46"/>
    </x:row>
    <x:row r="880">
      <x:c r="D880" s="46"/>
    </x:row>
    <x:row r="881">
      <x:c r="D881" s="46"/>
    </x:row>
    <x:row r="882">
      <x:c r="D882" s="46"/>
    </x:row>
    <x:row r="883">
      <x:c r="D883" s="46"/>
    </x:row>
    <x:row r="884">
      <x:c r="D884" s="46"/>
    </x:row>
    <x:row r="885">
      <x:c r="D885" s="46"/>
    </x:row>
    <x:row r="886">
      <x:c r="D886" s="46"/>
    </x:row>
    <x:row r="887">
      <x:c r="D887" s="46"/>
    </x:row>
    <x:row r="888">
      <x:c r="D888" s="46"/>
    </x:row>
    <x:row r="889">
      <x:c r="D889" s="46"/>
    </x:row>
    <x:row r="890">
      <x:c r="D890" s="46"/>
    </x:row>
    <x:row r="891">
      <x:c r="D891" s="46"/>
    </x:row>
    <x:row r="892">
      <x:c r="D892" s="46"/>
    </x:row>
    <x:row r="893">
      <x:c r="D893" s="46"/>
    </x:row>
    <x:row r="894">
      <x:c r="D894" s="46"/>
    </x:row>
    <x:row r="895">
      <x:c r="D895" s="46"/>
    </x:row>
    <x:row r="896">
      <x:c r="D896" s="46"/>
    </x:row>
    <x:row r="897">
      <x:c r="D897" s="46"/>
    </x:row>
    <x:row r="898">
      <x:c r="D898" s="46"/>
    </x:row>
    <x:row r="899">
      <x:c r="D899" s="46"/>
    </x:row>
    <x:row r="900">
      <x:c r="D900" s="46"/>
    </x:row>
    <x:row r="901">
      <x:c r="D901" s="46"/>
    </x:row>
    <x:row r="902">
      <x:c r="D902" s="46"/>
    </x:row>
    <x:row r="903">
      <x:c r="D903" s="46"/>
    </x:row>
    <x:row r="904">
      <x:c r="D904" s="46"/>
    </x:row>
    <x:row r="905">
      <x:c r="D905" s="46"/>
    </x:row>
    <x:row r="906">
      <x:c r="D906" s="46"/>
    </x:row>
    <x:row r="907">
      <x:c r="D907" s="46"/>
    </x:row>
    <x:row r="908">
      <x:c r="D908" s="46"/>
    </x:row>
    <x:row r="909">
      <x:c r="D909" s="46"/>
    </x:row>
    <x:row r="910">
      <x:c r="D910" s="46"/>
    </x:row>
    <x:row r="911">
      <x:c r="D911" s="46"/>
    </x:row>
    <x:row r="912">
      <x:c r="D912" s="46"/>
    </x:row>
    <x:row r="913">
      <x:c r="D913" s="46"/>
    </x:row>
    <x:row r="914">
      <x:c r="D914" s="46"/>
    </x:row>
    <x:row r="915">
      <x:c r="D915" s="46"/>
    </x:row>
    <x:row r="916">
      <x:c r="D916" s="46"/>
    </x:row>
    <x:row r="917">
      <x:c r="D917" s="46"/>
    </x:row>
    <x:row r="918">
      <x:c r="D918" s="46"/>
    </x:row>
    <x:row r="919">
      <x:c r="D919" s="46"/>
    </x:row>
    <x:row r="920">
      <x:c r="D920" s="46"/>
    </x:row>
    <x:row r="921">
      <x:c r="D921" s="46"/>
    </x:row>
    <x:row r="922">
      <x:c r="D922" s="46"/>
    </x:row>
    <x:row r="923">
      <x:c r="D923" s="46"/>
    </x:row>
    <x:row r="924">
      <x:c r="D924" s="46"/>
    </x:row>
    <x:row r="925">
      <x:c r="D925" s="46"/>
    </x:row>
    <x:row r="926">
      <x:c r="D926" s="46"/>
    </x:row>
    <x:row r="927">
      <x:c r="D927" s="46"/>
    </x:row>
    <x:row r="928">
      <x:c r="D928" s="46"/>
    </x:row>
    <x:row r="929">
      <x:c r="D929" s="46"/>
    </x:row>
    <x:row r="930">
      <x:c r="D930" s="46"/>
    </x:row>
    <x:row r="931">
      <x:c r="D931" s="46"/>
    </x:row>
    <x:row r="932">
      <x:c r="D932" s="46"/>
    </x:row>
    <x:row r="933">
      <x:c r="D933" s="46"/>
    </x:row>
    <x:row r="934">
      <x:c r="D934" s="46"/>
    </x:row>
    <x:row r="935">
      <x:c r="D935" s="46"/>
    </x:row>
    <x:row r="936">
      <x:c r="D936" s="46"/>
    </x:row>
    <x:row r="937">
      <x:c r="D937" s="46"/>
    </x:row>
    <x:row r="938">
      <x:c r="D938" s="46"/>
    </x:row>
    <x:row r="939">
      <x:c r="D939" s="46"/>
    </x:row>
    <x:row r="940">
      <x:c r="D940" s="46"/>
    </x:row>
    <x:row r="941">
      <x:c r="D941" s="46"/>
    </x:row>
    <x:row r="942">
      <x:c r="D942" s="46"/>
    </x:row>
    <x:row r="943">
      <x:c r="D943" s="46"/>
    </x:row>
    <x:row r="944">
      <x:c r="D944" s="46"/>
    </x:row>
    <x:row r="945">
      <x:c r="D945" s="46"/>
    </x:row>
    <x:row r="946">
      <x:c r="D946" s="46"/>
    </x:row>
    <x:row r="947">
      <x:c r="D947" s="46"/>
    </x:row>
    <x:row r="948">
      <x:c r="D948" s="46"/>
    </x:row>
    <x:row r="949">
      <x:c r="D949" s="46"/>
    </x:row>
    <x:row r="950">
      <x:c r="D950" s="46"/>
    </x:row>
    <x:row r="951">
      <x:c r="D951" s="46"/>
    </x:row>
    <x:row r="952">
      <x:c r="D952" s="46"/>
    </x:row>
    <x:row r="953">
      <x:c r="D953" s="46"/>
    </x:row>
    <x:row r="954">
      <x:c r="D954" s="46"/>
    </x:row>
    <x:row r="955">
      <x:c r="D955" s="46"/>
    </x:row>
    <x:row r="956">
      <x:c r="D956" s="46"/>
    </x:row>
    <x:row r="957">
      <x:c r="D957" s="46"/>
    </x:row>
    <x:row r="958">
      <x:c r="D958" s="46"/>
    </x:row>
    <x:row r="959">
      <x:c r="D959" s="46"/>
    </x:row>
    <x:row r="960">
      <x:c r="D960" s="46"/>
    </x:row>
    <x:row r="961">
      <x:c r="D961" s="46"/>
    </x:row>
    <x:row r="962">
      <x:c r="D962" s="46"/>
    </x:row>
    <x:row r="963">
      <x:c r="D963" s="46"/>
    </x:row>
    <x:row r="964">
      <x:c r="D964" s="46"/>
    </x:row>
    <x:row r="965">
      <x:c r="D965" s="46"/>
    </x:row>
    <x:row r="966">
      <x:c r="D966" s="46"/>
    </x:row>
    <x:row r="967">
      <x:c r="D967" s="46"/>
    </x:row>
    <x:row r="968">
      <x:c r="D968" s="46"/>
    </x:row>
    <x:row r="969">
      <x:c r="D969" s="46"/>
    </x:row>
    <x:row r="970">
      <x:c r="D970" s="46"/>
    </x:row>
    <x:row r="971">
      <x:c r="D971" s="46"/>
    </x:row>
    <x:row r="972">
      <x:c r="D972" s="46"/>
    </x:row>
    <x:row r="973">
      <x:c r="D973" s="46"/>
    </x:row>
    <x:row r="974">
      <x:c r="D974" s="46"/>
    </x:row>
    <x:row r="975">
      <x:c r="D975" s="46"/>
    </x:row>
    <x:row r="976">
      <x:c r="D976" s="46"/>
    </x:row>
    <x:row r="977">
      <x:c r="D977" s="46"/>
    </x:row>
    <x:row r="978">
      <x:c r="D978" s="46"/>
    </x:row>
    <x:row r="979">
      <x:c r="D979" s="46"/>
    </x:row>
    <x:row r="980">
      <x:c r="D980" s="46"/>
    </x:row>
    <x:row r="981">
      <x:c r="D981" s="46"/>
    </x:row>
    <x:row r="982">
      <x:c r="D982" s="46"/>
    </x:row>
    <x:row r="983">
      <x:c r="D983" s="46"/>
    </x:row>
    <x:row r="984">
      <x:c r="D984" s="46"/>
    </x:row>
    <x:row r="985">
      <x:c r="D985" s="46"/>
    </x:row>
    <x:row r="986">
      <x:c r="D986" s="46"/>
    </x:row>
    <x:row r="987">
      <x:c r="D987" s="46"/>
    </x:row>
    <x:row r="988">
      <x:c r="D988" s="46"/>
    </x:row>
    <x:row r="989">
      <x:c r="D989" s="46"/>
    </x:row>
    <x:row r="990">
      <x:c r="D990" s="46"/>
    </x:row>
    <x:row r="991">
      <x:c r="D991" s="46"/>
    </x:row>
    <x:row r="992">
      <x:c r="D992" s="46"/>
    </x:row>
    <x:row r="993">
      <x:c r="D993" s="46"/>
    </x:row>
    <x:row r="994">
      <x:c r="D994" s="46"/>
    </x:row>
    <x:row r="995">
      <x:c r="D995" s="46"/>
    </x:row>
    <x:row r="996">
      <x:c r="D996" s="46"/>
    </x:row>
    <x:row r="997">
      <x:c r="D997" s="46"/>
    </x:row>
    <x:row r="998">
      <x:c r="D998" s="46"/>
    </x:row>
    <x:row r="999">
      <x:c r="D999" s="46"/>
    </x:row>
    <x:row r="1000">
      <x:c r="D1000" s="46"/>
    </x:row>
    <x:row r="1001">
      <x:c r="D1001" s="46"/>
    </x:row>
    <x:row r="1002">
      <x:c r="D1002" s="46"/>
    </x:row>
    <x:row r="1003">
      <x:c r="D1003" s="46"/>
    </x:row>
    <x:row r="1004">
      <x:c r="D1004" s="46"/>
    </x:row>
    <x:row r="1005">
      <x:c r="D1005" s="46"/>
    </x:row>
    <x:row r="1006">
      <x:c r="D1006" s="46"/>
    </x:row>
    <x:row r="1007">
      <x:c r="D1007" s="46"/>
    </x:row>
    <x:row r="1008">
      <x:c r="D1008" s="46"/>
    </x:row>
    <x:row r="1009">
      <x:c r="D1009" s="46"/>
    </x:row>
    <x:row r="1010">
      <x:c r="D1010" s="46"/>
    </x:row>
    <x:row r="1011">
      <x:c r="D1011" s="46"/>
    </x:row>
    <x:row r="1012">
      <x:c r="D1012" s="46"/>
    </x:row>
    <x:row r="1013">
      <x:c r="D1013" s="46"/>
    </x:row>
    <x:row r="1014">
      <x:c r="D1014" s="46"/>
    </x:row>
    <x:row r="1015">
      <x:c r="D1015" s="46"/>
    </x:row>
    <x:row r="1016">
      <x:c r="D1016" s="46"/>
    </x:row>
    <x:row r="1017">
      <x:c r="D1017" s="46"/>
    </x:row>
    <x:row r="1018">
      <x:c r="D1018" s="46"/>
    </x:row>
    <x:row r="1019">
      <x:c r="D1019" s="46"/>
    </x:row>
    <x:row r="1020">
      <x:c r="D1020" s="46"/>
    </x:row>
    <x:row r="1021">
      <x:c r="D1021" s="46"/>
    </x:row>
    <x:row r="1022">
      <x:c r="D1022" s="46"/>
    </x:row>
    <x:row r="1023">
      <x:c r="D1023" s="46"/>
    </x:row>
    <x:row r="1024">
      <x:c r="D1024" s="46"/>
    </x:row>
    <x:row r="1025">
      <x:c r="D1025" s="46"/>
    </x:row>
    <x:row r="1026">
      <x:c r="D1026" s="46"/>
    </x:row>
    <x:row r="1027">
      <x:c r="D1027" s="46"/>
    </x:row>
    <x:row r="1028">
      <x:c r="D1028" s="46"/>
    </x:row>
    <x:row r="1029">
      <x:c r="D1029" s="46"/>
    </x:row>
    <x:row r="1030">
      <x:c r="D1030" s="46"/>
    </x:row>
    <x:row r="1031">
      <x:c r="D1031" s="46"/>
    </x:row>
    <x:row r="1032">
      <x:c r="D1032" s="46"/>
    </x:row>
    <x:row r="1033">
      <x:c r="D1033" s="46"/>
    </x:row>
    <x:row r="1034">
      <x:c r="D1034" s="46"/>
    </x:row>
    <x:row r="1035">
      <x:c r="D1035" s="46"/>
    </x:row>
    <x:row r="1036">
      <x:c r="D1036" s="46"/>
    </x:row>
    <x:row r="1037">
      <x:c r="D1037" s="46"/>
    </x:row>
    <x:row r="1038">
      <x:c r="D1038" s="46"/>
    </x:row>
    <x:row r="1039">
      <x:c r="D1039" s="46"/>
    </x:row>
    <x:row r="1040">
      <x:c r="D1040" s="46"/>
    </x:row>
    <x:row r="1041">
      <x:c r="D1041" s="46"/>
    </x:row>
    <x:row r="1042">
      <x:c r="D1042" s="46"/>
    </x:row>
    <x:row r="1043">
      <x:c r="D1043" s="46"/>
    </x:row>
    <x:row r="1044">
      <x:c r="D1044" s="46"/>
    </x:row>
    <x:row r="1045">
      <x:c r="D1045" s="46"/>
    </x:row>
    <x:row r="1046">
      <x:c r="D1046" s="46"/>
    </x:row>
    <x:row r="1047">
      <x:c r="D1047" s="46"/>
    </x:row>
    <x:row r="1048">
      <x:c r="D1048" s="46"/>
    </x:row>
    <x:row r="1049">
      <x:c r="D1049" s="46"/>
    </x:row>
    <x:row r="1050">
      <x:c r="D1050" s="46"/>
    </x:row>
    <x:row r="1051">
      <x:c r="D1051" s="46"/>
    </x:row>
    <x:row r="1052">
      <x:c r="D1052" s="46"/>
    </x:row>
    <x:row r="1053">
      <x:c r="D1053" s="46"/>
    </x:row>
    <x:row r="1054">
      <x:c r="D1054" s="46"/>
    </x:row>
    <x:row r="1055">
      <x:c r="D1055" s="46"/>
    </x:row>
    <x:row r="1056">
      <x:c r="D1056" s="46"/>
    </x:row>
    <x:row r="1057">
      <x:c r="D1057" s="46"/>
    </x:row>
    <x:row r="1058">
      <x:c r="D1058" s="46"/>
    </x:row>
    <x:row r="1059">
      <x:c r="D1059" s="46"/>
    </x:row>
    <x:row r="1060">
      <x:c r="D1060" s="46"/>
    </x:row>
    <x:row r="1061">
      <x:c r="D1061" s="46"/>
    </x:row>
    <x:row r="1062">
      <x:c r="D1062" s="46"/>
    </x:row>
    <x:row r="1063">
      <x:c r="D1063" s="46"/>
    </x:row>
    <x:row r="1064">
      <x:c r="D1064" s="46"/>
    </x:row>
    <x:row r="1065">
      <x:c r="D1065" s="46"/>
    </x:row>
    <x:row r="1066">
      <x:c r="D1066" s="46"/>
    </x:row>
    <x:row r="1067">
      <x:c r="D1067" s="46"/>
    </x:row>
    <x:row r="1068">
      <x:c r="D1068" s="46"/>
    </x:row>
    <x:row r="1069">
      <x:c r="D1069" s="46"/>
    </x:row>
    <x:row r="1070">
      <x:c r="D1070" s="46"/>
    </x:row>
    <x:row r="1071">
      <x:c r="D1071" s="46"/>
    </x:row>
    <x:row r="1072">
      <x:c r="D1072" s="46"/>
    </x:row>
    <x:row r="1073">
      <x:c r="D1073" s="46"/>
    </x:row>
    <x:row r="1074">
      <x:c r="D1074" s="46"/>
    </x:row>
    <x:row r="1075">
      <x:c r="D1075" s="46"/>
    </x:row>
    <x:row r="1076">
      <x:c r="D1076" s="46"/>
    </x:row>
    <x:row r="1077">
      <x:c r="D1077" s="46"/>
    </x:row>
    <x:row r="1078">
      <x:c r="D1078" s="46"/>
    </x:row>
    <x:row r="1079">
      <x:c r="D1079" s="46"/>
    </x:row>
    <x:row r="1080">
      <x:c r="D1080" s="46"/>
    </x:row>
    <x:row r="1081">
      <x:c r="D1081" s="46"/>
    </x:row>
    <x:row r="1082">
      <x:c r="D1082" s="46"/>
    </x:row>
    <x:row r="1083">
      <x:c r="D1083" s="46"/>
    </x:row>
    <x:row r="1084">
      <x:c r="D1084" s="46"/>
    </x:row>
    <x:row r="1085">
      <x:c r="D1085" s="46"/>
    </x:row>
    <x:row r="1086">
      <x:c r="D1086" s="46"/>
    </x:row>
    <x:row r="1087">
      <x:c r="D1087" s="46"/>
    </x:row>
    <x:row r="1088">
      <x:c r="D1088" s="46"/>
    </x:row>
    <x:row r="1089">
      <x:c r="D1089" s="46"/>
    </x:row>
    <x:row r="1090">
      <x:c r="D1090" s="46"/>
    </x:row>
    <x:row r="1091">
      <x:c r="D1091" s="46"/>
    </x:row>
    <x:row r="1092">
      <x:c r="D1092" s="46"/>
    </x:row>
    <x:row r="1093">
      <x:c r="D1093" s="46"/>
    </x:row>
    <x:row r="1094">
      <x:c r="D1094" s="46"/>
    </x:row>
    <x:row r="1095">
      <x:c r="D1095" s="46"/>
    </x:row>
    <x:row r="1096">
      <x:c r="D1096" s="46"/>
    </x:row>
    <x:row r="1097">
      <x:c r="D1097" s="46"/>
    </x:row>
    <x:row r="1098">
      <x:c r="D1098" s="46"/>
    </x:row>
    <x:row r="1099">
      <x:c r="D1099" s="46"/>
    </x:row>
    <x:row r="1100">
      <x:c r="D1100" s="46"/>
    </x:row>
    <x:row r="1101">
      <x:c r="D1101" s="46"/>
    </x:row>
    <x:row r="1102">
      <x:c r="D1102" s="46"/>
    </x:row>
    <x:row r="1103">
      <x:c r="D1103" s="46"/>
    </x:row>
    <x:row r="1104">
      <x:c r="D1104" s="46"/>
    </x:row>
    <x:row r="1105">
      <x:c r="D1105" s="46"/>
    </x:row>
    <x:row r="1106">
      <x:c r="D1106" s="46"/>
    </x:row>
    <x:row r="1107">
      <x:c r="D1107" s="46"/>
    </x:row>
    <x:row r="1108">
      <x:c r="D1108" s="46"/>
    </x:row>
    <x:row r="1109">
      <x:c r="D1109" s="46"/>
    </x:row>
    <x:row r="1110">
      <x:c r="D1110" s="46"/>
    </x:row>
    <x:row r="1111">
      <x:c r="D1111" s="46"/>
    </x:row>
    <x:row r="1112">
      <x:c r="D1112" s="46"/>
    </x:row>
    <x:row r="1113">
      <x:c r="D1113" s="46"/>
    </x:row>
    <x:row r="1114">
      <x:c r="D1114" s="46"/>
    </x:row>
    <x:row r="1115">
      <x:c r="D1115" s="46"/>
    </x:row>
    <x:row r="1116">
      <x:c r="D1116" s="46"/>
    </x:row>
    <x:row r="1117">
      <x:c r="D1117" s="46"/>
    </x:row>
    <x:row r="1118">
      <x:c r="D1118" s="46"/>
    </x:row>
    <x:row r="1119">
      <x:c r="D1119" s="46"/>
    </x:row>
    <x:row r="1120">
      <x:c r="D1120" s="46"/>
    </x:row>
    <x:row r="1121">
      <x:c r="D1121" s="46"/>
    </x:row>
    <x:row r="1122">
      <x:c r="D1122" s="46"/>
    </x:row>
    <x:row r="1123">
      <x:c r="D1123" s="46"/>
    </x:row>
    <x:row r="1124">
      <x:c r="D1124" s="46"/>
    </x:row>
    <x:row r="1125">
      <x:c r="D1125" s="46"/>
    </x:row>
    <x:row r="1126">
      <x:c r="D1126" s="46"/>
    </x:row>
    <x:row r="1127">
      <x:c r="D1127" s="46"/>
    </x:row>
    <x:row r="1128">
      <x:c r="D1128" s="46"/>
    </x:row>
    <x:row r="1129">
      <x:c r="D1129" s="46"/>
    </x:row>
    <x:row r="1130">
      <x:c r="D1130" s="46"/>
    </x:row>
    <x:row r="1131">
      <x:c r="D1131" s="46"/>
    </x:row>
    <x:row r="1132">
      <x:c r="D1132" s="46"/>
    </x:row>
    <x:row r="1133">
      <x:c r="D1133" s="46"/>
    </x:row>
    <x:row r="1134">
      <x:c r="D1134" s="46"/>
    </x:row>
    <x:row r="1135">
      <x:c r="D1135" s="46"/>
    </x:row>
    <x:row r="1136">
      <x:c r="D1136" s="46"/>
    </x:row>
    <x:row r="1137">
      <x:c r="D1137" s="46"/>
    </x:row>
    <x:row r="1138">
      <x:c r="D1138" s="46"/>
    </x:row>
    <x:row r="1139">
      <x:c r="D1139" s="46"/>
    </x:row>
    <x:row r="1140">
      <x:c r="D1140" s="46"/>
    </x:row>
    <x:row r="1141">
      <x:c r="D1141" s="46"/>
    </x:row>
    <x:row r="1142">
      <x:c r="D1142" s="46"/>
    </x:row>
    <x:row r="1143">
      <x:c r="D1143" s="46"/>
    </x:row>
    <x:row r="1144">
      <x:c r="D1144" s="46"/>
    </x:row>
    <x:row r="1145">
      <x:c r="D1145" s="46"/>
    </x:row>
    <x:row r="1146">
      <x:c r="D1146" s="46"/>
    </x:row>
    <x:row r="1147">
      <x:c r="D1147" s="46"/>
    </x:row>
    <x:row r="1148">
      <x:c r="D1148" s="46"/>
    </x:row>
    <x:row r="1149">
      <x:c r="D1149" s="46"/>
    </x:row>
    <x:row r="1150">
      <x:c r="D1150" s="46"/>
    </x:row>
    <x:row r="1151">
      <x:c r="D1151" s="46"/>
    </x:row>
    <x:row r="1152">
      <x:c r="D1152" s="46"/>
    </x:row>
    <x:row r="1153">
      <x:c r="D1153" s="46"/>
    </x:row>
    <x:row r="1154">
      <x:c r="D1154" s="46"/>
    </x:row>
    <x:row r="1155">
      <x:c r="D1155" s="46"/>
    </x:row>
    <x:row r="1156">
      <x:c r="D1156" s="46"/>
    </x:row>
    <x:row r="1157">
      <x:c r="D1157" s="46"/>
    </x:row>
    <x:row r="1158">
      <x:c r="D1158" s="46"/>
    </x:row>
    <x:row r="1159">
      <x:c r="D1159" s="46"/>
    </x:row>
    <x:row r="1160">
      <x:c r="D1160" s="46"/>
    </x:row>
    <x:row r="1161">
      <x:c r="D1161" s="46"/>
    </x:row>
    <x:row r="1162">
      <x:c r="D1162" s="46"/>
    </x:row>
    <x:row r="1163">
      <x:c r="D1163" s="46"/>
    </x:row>
    <x:row r="1164">
      <x:c r="D1164" s="46"/>
    </x:row>
    <x:row r="1165">
      <x:c r="D1165" s="46"/>
    </x:row>
    <x:row r="1166">
      <x:c r="D1166" s="46"/>
    </x:row>
    <x:row r="1167">
      <x:c r="D1167" s="46"/>
    </x:row>
    <x:row r="1168">
      <x:c r="D1168" s="46"/>
    </x:row>
    <x:row r="1169">
      <x:c r="D1169" s="46"/>
    </x:row>
    <x:row r="1170">
      <x:c r="D1170" s="46"/>
    </x:row>
    <x:row r="1171">
      <x:c r="D1171" s="46"/>
    </x:row>
    <x:row r="1172">
      <x:c r="D1172" s="46"/>
    </x:row>
    <x:row r="1173">
      <x:c r="D1173" s="46"/>
    </x:row>
    <x:row r="1174">
      <x:c r="D1174" s="46"/>
    </x:row>
    <x:row r="1175">
      <x:c r="D1175" s="46"/>
    </x:row>
    <x:row r="1176">
      <x:c r="D1176" s="46"/>
    </x:row>
    <x:row r="1177">
      <x:c r="D1177" s="46"/>
    </x:row>
    <x:row r="1178">
      <x:c r="D1178" s="46"/>
    </x:row>
    <x:row r="1179">
      <x:c r="D1179" s="46"/>
    </x:row>
    <x:row r="1180">
      <x:c r="D1180" s="46"/>
    </x:row>
    <x:row r="1181">
      <x:c r="D1181" s="46"/>
    </x:row>
    <x:row r="1182">
      <x:c r="D1182" s="46"/>
    </x:row>
    <x:row r="1183">
      <x:c r="D1183" s="46"/>
    </x:row>
    <x:row r="1184">
      <x:c r="D1184" s="46"/>
    </x:row>
    <x:row r="1185">
      <x:c r="D1185" s="46"/>
    </x:row>
    <x:row r="1186">
      <x:c r="D1186" s="46"/>
    </x:row>
    <x:row r="1187">
      <x:c r="D1187" s="46"/>
    </x:row>
    <x:row r="1188">
      <x:c r="D1188" s="46"/>
    </x:row>
    <x:row r="1189">
      <x:c r="D1189" s="46"/>
    </x:row>
    <x:row r="1190">
      <x:c r="D1190" s="46"/>
    </x:row>
    <x:row r="1191">
      <x:c r="D1191" s="46"/>
    </x:row>
    <x:row r="1192">
      <x:c r="D1192" s="46"/>
    </x:row>
    <x:row r="1193">
      <x:c r="D1193" s="46"/>
    </x:row>
    <x:row r="1194">
      <x:c r="D1194" s="46"/>
    </x:row>
    <x:row r="1195">
      <x:c r="D1195" s="46"/>
    </x:row>
    <x:row r="1196">
      <x:c r="D1196" s="46"/>
    </x:row>
    <x:row r="1197">
      <x:c r="D1197" s="46"/>
    </x:row>
    <x:row r="1198">
      <x:c r="D1198" s="46"/>
    </x:row>
    <x:row r="1199">
      <x:c r="D1199" s="46"/>
    </x:row>
    <x:row r="1200">
      <x:c r="D1200" s="46"/>
    </x:row>
    <x:row r="1201">
      <x:c r="D1201" s="46"/>
    </x:row>
    <x:row r="1202">
      <x:c r="D1202" s="46"/>
    </x:row>
    <x:row r="1203">
      <x:c r="D1203" s="46"/>
    </x:row>
    <x:row r="1204">
      <x:c r="D1204" s="46"/>
    </x:row>
    <x:row r="1205">
      <x:c r="D1205" s="46"/>
    </x:row>
    <x:row r="1206">
      <x:c r="D1206" s="46"/>
    </x:row>
    <x:row r="1207">
      <x:c r="D1207" s="46"/>
    </x:row>
    <x:row r="1208">
      <x:c r="D1208" s="46"/>
    </x:row>
    <x:row r="1209">
      <x:c r="D1209" s="46"/>
    </x:row>
    <x:row r="1210">
      <x:c r="D1210" s="46"/>
    </x:row>
    <x:row r="1211">
      <x:c r="D1211" s="46"/>
    </x:row>
    <x:row r="1212">
      <x:c r="D1212" s="46"/>
    </x:row>
    <x:row r="1213">
      <x:c r="D1213" s="46"/>
    </x:row>
    <x:row r="1214">
      <x:c r="D1214" s="46"/>
    </x:row>
    <x:row r="1215">
      <x:c r="D1215" s="46"/>
    </x:row>
    <x:row r="1216">
      <x:c r="D1216" s="46"/>
    </x:row>
    <x:row r="1217">
      <x:c r="D1217" s="46"/>
    </x:row>
    <x:row r="1218">
      <x:c r="D1218" s="46"/>
    </x:row>
    <x:row r="1219">
      <x:c r="D1219" s="46"/>
    </x:row>
    <x:row r="1220">
      <x:c r="D1220" s="46"/>
    </x:row>
    <x:row r="1221">
      <x:c r="D1221" s="46"/>
    </x:row>
    <x:row r="1222">
      <x:c r="D1222" s="46"/>
    </x:row>
    <x:row r="1223">
      <x:c r="D1223" s="46"/>
    </x:row>
    <x:row r="1224">
      <x:c r="D1224" s="46"/>
    </x:row>
    <x:row r="1225">
      <x:c r="D1225" s="46"/>
    </x:row>
    <x:row r="1226">
      <x:c r="D1226" s="46"/>
    </x:row>
    <x:row r="1227">
      <x:c r="D1227" s="46"/>
    </x:row>
    <x:row r="1228">
      <x:c r="D1228" s="46"/>
    </x:row>
    <x:row r="1229">
      <x:c r="D1229" s="46"/>
    </x:row>
    <x:row r="1230">
      <x:c r="D1230" s="46"/>
    </x:row>
    <x:row r="1231">
      <x:c r="D1231" s="46"/>
    </x:row>
    <x:row r="1232">
      <x:c r="D1232" s="46"/>
    </x:row>
    <x:row r="1233">
      <x:c r="D1233" s="46"/>
    </x:row>
    <x:row r="1234">
      <x:c r="D1234" s="46"/>
    </x:row>
    <x:row r="1235">
      <x:c r="D1235" s="46"/>
    </x:row>
    <x:row r="1236">
      <x:c r="D1236" s="46"/>
    </x:row>
    <x:row r="1237">
      <x:c r="D1237" s="46"/>
    </x:row>
    <x:row r="1238">
      <x:c r="D1238" s="46"/>
    </x:row>
    <x:row r="1239">
      <x:c r="D1239" s="46"/>
    </x:row>
    <x:row r="1240">
      <x:c r="D1240" s="46"/>
    </x:row>
    <x:row r="1241">
      <x:c r="D1241" s="46"/>
    </x:row>
    <x:row r="1242">
      <x:c r="D1242" s="46"/>
    </x:row>
    <x:row r="1243">
      <x:c r="D1243" s="46"/>
    </x:row>
    <x:row r="1244">
      <x:c r="D1244" s="46"/>
    </x:row>
    <x:row r="1245">
      <x:c r="D1245" s="46"/>
    </x:row>
    <x:row r="1246">
      <x:c r="D1246" s="46"/>
    </x:row>
    <x:row r="1247">
      <x:c r="D1247" s="46"/>
    </x:row>
    <x:row r="1248">
      <x:c r="D1248" s="46"/>
    </x:row>
    <x:row r="1249">
      <x:c r="D1249" s="46"/>
    </x:row>
    <x:row r="1250">
      <x:c r="D1250" s="46"/>
    </x:row>
    <x:row r="1251">
      <x:c r="D1251" s="46"/>
    </x:row>
    <x:row r="1252">
      <x:c r="D1252" s="46"/>
    </x:row>
    <x:row r="1253">
      <x:c r="D1253" s="46"/>
    </x:row>
    <x:row r="1254">
      <x:c r="D1254" s="46"/>
    </x:row>
    <x:row r="1255">
      <x:c r="D1255" s="46"/>
    </x:row>
    <x:row r="1256">
      <x:c r="D1256" s="46"/>
    </x:row>
    <x:row r="1257">
      <x:c r="D1257" s="46"/>
    </x:row>
    <x:row r="1258">
      <x:c r="D1258" s="46"/>
    </x:row>
    <x:row r="1259">
      <x:c r="D1259" s="46"/>
    </x:row>
    <x:row r="1260">
      <x:c r="D1260" s="46"/>
    </x:row>
    <x:row r="1261">
      <x:c r="D1261" s="46"/>
    </x:row>
    <x:row r="1262">
      <x:c r="D1262" s="46"/>
    </x:row>
    <x:row r="1263">
      <x:c r="D1263" s="46"/>
    </x:row>
    <x:row r="1264">
      <x:c r="D1264" s="46"/>
    </x:row>
    <x:row r="1265">
      <x:c r="D1265" s="46"/>
    </x:row>
    <x:row r="1266">
      <x:c r="D1266" s="46"/>
    </x:row>
    <x:row r="1267">
      <x:c r="D1267" s="46"/>
    </x:row>
    <x:row r="1268">
      <x:c r="D1268" s="46"/>
    </x:row>
    <x:row r="1269">
      <x:c r="D1269" s="46"/>
    </x:row>
    <x:row r="1270">
      <x:c r="D1270" s="46"/>
    </x:row>
    <x:row r="1271">
      <x:c r="D1271" s="46"/>
    </x:row>
    <x:row r="1272">
      <x:c r="D1272" s="46"/>
    </x:row>
    <x:row r="1273">
      <x:c r="D1273" s="46"/>
    </x:row>
    <x:row r="1274">
      <x:c r="D1274" s="46"/>
    </x:row>
    <x:row r="1275">
      <x:c r="D1275" s="46"/>
    </x:row>
    <x:row r="1276">
      <x:c r="D1276" s="46"/>
    </x:row>
    <x:row r="1277">
      <x:c r="D1277" s="46"/>
    </x:row>
    <x:row r="1278">
      <x:c r="D1278" s="46"/>
    </x:row>
    <x:row r="1279">
      <x:c r="D1279" s="46"/>
    </x:row>
    <x:row r="1280">
      <x:c r="D1280" s="46"/>
    </x:row>
    <x:row r="1281">
      <x:c r="D1281" s="46"/>
    </x:row>
    <x:row r="1282">
      <x:c r="D1282" s="46"/>
    </x:row>
    <x:row r="1283">
      <x:c r="D1283" s="46"/>
    </x:row>
    <x:row r="1284">
      <x:c r="D1284" s="46"/>
    </x:row>
    <x:row r="1285">
      <x:c r="D1285" s="46"/>
    </x:row>
    <x:row r="1286">
      <x:c r="D1286" s="46"/>
    </x:row>
    <x:row r="1287">
      <x:c r="D1287" s="46"/>
    </x:row>
    <x:row r="1288">
      <x:c r="D1288" s="46"/>
    </x:row>
    <x:row r="1289">
      <x:c r="D1289" s="46"/>
    </x:row>
    <x:row r="1290">
      <x:c r="D1290" s="46"/>
    </x:row>
    <x:row r="1291">
      <x:c r="D1291" s="46"/>
    </x:row>
    <x:row r="1292">
      <x:c r="D1292" s="46"/>
    </x:row>
    <x:row r="1293">
      <x:c r="D1293" s="46"/>
    </x:row>
    <x:row r="1294">
      <x:c r="D1294" s="46"/>
    </x:row>
    <x:row r="1295">
      <x:c r="D1295" s="46"/>
    </x:row>
    <x:row r="1296">
      <x:c r="D1296" s="46"/>
    </x:row>
    <x:row r="1297">
      <x:c r="D1297" s="46"/>
    </x:row>
    <x:row r="1298">
      <x:c r="D1298" s="46"/>
    </x:row>
    <x:row r="1299">
      <x:c r="D1299" s="46"/>
    </x:row>
    <x:row r="1300">
      <x:c r="D1300" s="46"/>
    </x:row>
    <x:row r="1301">
      <x:c r="D1301" s="46"/>
    </x:row>
    <x:row r="1302">
      <x:c r="D1302" s="46"/>
    </x:row>
    <x:row r="1303">
      <x:c r="D1303" s="46"/>
    </x:row>
    <x:row r="1304">
      <x:c r="D1304" s="46"/>
    </x:row>
    <x:row r="1305">
      <x:c r="D1305" s="46"/>
    </x:row>
    <x:row r="1306">
      <x:c r="D1306" s="46"/>
    </x:row>
    <x:row r="1307">
      <x:c r="D1307" s="46"/>
    </x:row>
    <x:row r="1308">
      <x:c r="D1308" s="46"/>
    </x:row>
    <x:row r="1309">
      <x:c r="D1309" s="46"/>
    </x:row>
    <x:row r="1310">
      <x:c r="D1310" s="46"/>
    </x:row>
    <x:row r="1311">
      <x:c r="D1311" s="46"/>
    </x:row>
    <x:row r="1312">
      <x:c r="D1312" s="46"/>
    </x:row>
    <x:row r="1313">
      <x:c r="D1313" s="46"/>
    </x:row>
    <x:row r="1314">
      <x:c r="D1314" s="46"/>
    </x:row>
    <x:row r="1315">
      <x:c r="D1315" s="46"/>
    </x:row>
    <x:row r="1316">
      <x:c r="D1316" s="46"/>
    </x:row>
    <x:row r="1317">
      <x:c r="D1317" s="46"/>
    </x:row>
    <x:row r="1318">
      <x:c r="D1318" s="46"/>
    </x:row>
    <x:row r="1319">
      <x:c r="D1319" s="46"/>
    </x:row>
    <x:row r="1320">
      <x:c r="D1320" s="46"/>
    </x:row>
    <x:row r="1321">
      <x:c r="D1321" s="46"/>
    </x:row>
    <x:row r="1322">
      <x:c r="D1322" s="46"/>
    </x:row>
    <x:row r="1323">
      <x:c r="D1323" s="46"/>
    </x:row>
    <x:row r="1324">
      <x:c r="D1324" s="46"/>
    </x:row>
    <x:row r="1325">
      <x:c r="D1325" s="46"/>
    </x:row>
    <x:row r="1326">
      <x:c r="D1326" s="46"/>
    </x:row>
    <x:row r="1327">
      <x:c r="D1327" s="46"/>
    </x:row>
    <x:row r="1328">
      <x:c r="D1328" s="46"/>
    </x:row>
    <x:row r="1329">
      <x:c r="D1329" s="46"/>
    </x:row>
    <x:row r="1330">
      <x:c r="D1330" s="46"/>
    </x:row>
    <x:row r="1331">
      <x:c r="D1331" s="46"/>
    </x:row>
    <x:row r="1332">
      <x:c r="D1332" s="46"/>
    </x:row>
    <x:row r="1333">
      <x:c r="D1333" s="46"/>
    </x:row>
    <x:row r="1334">
      <x:c r="D1334" s="46"/>
    </x:row>
    <x:row r="1335">
      <x:c r="D1335" s="46"/>
    </x:row>
    <x:row r="1336">
      <x:c r="D1336" s="46"/>
    </x:row>
    <x:row r="1337">
      <x:c r="D1337" s="46"/>
    </x:row>
    <x:row r="1338">
      <x:c r="D1338" s="46"/>
    </x:row>
    <x:row r="1339">
      <x:c r="D1339" s="46"/>
    </x:row>
    <x:row r="1340">
      <x:c r="D1340" s="46"/>
    </x:row>
    <x:row r="1341">
      <x:c r="D1341" s="46"/>
    </x:row>
    <x:row r="1342">
      <x:c r="D1342" s="46"/>
    </x:row>
    <x:row r="1343">
      <x:c r="D1343" s="46"/>
    </x:row>
    <x:row r="1344">
      <x:c r="D1344" s="46"/>
    </x:row>
    <x:row r="1345">
      <x:c r="D1345" s="46"/>
    </x:row>
    <x:row r="1346">
      <x:c r="D1346" s="46"/>
    </x:row>
    <x:row r="1347">
      <x:c r="D1347" s="46"/>
    </x:row>
    <x:row r="1348">
      <x:c r="D1348" s="46"/>
    </x:row>
    <x:row r="1349">
      <x:c r="D1349" s="46"/>
    </x:row>
    <x:row r="1350">
      <x:c r="D1350" s="46"/>
    </x:row>
    <x:row r="1351">
      <x:c r="D1351" s="46"/>
    </x:row>
    <x:row r="1352">
      <x:c r="D1352" s="46"/>
    </x:row>
    <x:row r="1353">
      <x:c r="D1353" s="46"/>
    </x:row>
    <x:row r="1354">
      <x:c r="D1354" s="46"/>
    </x:row>
    <x:row r="1355">
      <x:c r="D1355" s="46"/>
    </x:row>
    <x:row r="1356">
      <x:c r="D1356" s="46"/>
    </x:row>
    <x:row r="1357">
      <x:c r="D1357" s="46"/>
    </x:row>
    <x:row r="1358">
      <x:c r="D1358" s="46"/>
    </x:row>
    <x:row r="1359">
      <x:c r="D1359" s="46"/>
    </x:row>
    <x:row r="1360">
      <x:c r="D1360" s="46"/>
    </x:row>
    <x:row r="1361">
      <x:c r="D1361" s="46"/>
    </x:row>
    <x:row r="1362">
      <x:c r="D1362" s="46"/>
    </x:row>
    <x:row r="1363">
      <x:c r="D1363" s="46"/>
    </x:row>
    <x:row r="1364">
      <x:c r="D1364" s="46"/>
    </x:row>
    <x:row r="1365">
      <x:c r="D1365" s="46"/>
    </x:row>
    <x:row r="1366">
      <x:c r="D1366" s="46"/>
    </x:row>
    <x:row r="1367">
      <x:c r="D1367" s="46"/>
    </x:row>
    <x:row r="1368">
      <x:c r="D1368" s="46"/>
    </x:row>
    <x:row r="1369">
      <x:c r="D1369" s="46"/>
    </x:row>
    <x:row r="1370">
      <x:c r="D1370" s="46"/>
    </x:row>
    <x:row r="1371">
      <x:c r="D1371" s="46"/>
    </x:row>
    <x:row r="1372">
      <x:c r="D1372" s="46"/>
    </x:row>
    <x:row r="1373">
      <x:c r="D1373" s="46"/>
    </x:row>
    <x:row r="1374">
      <x:c r="D1374" s="46"/>
    </x:row>
    <x:row r="1375">
      <x:c r="D1375" s="46"/>
    </x:row>
    <x:row r="1376">
      <x:c r="D1376" s="46"/>
    </x:row>
    <x:row r="1377">
      <x:c r="D1377" s="46"/>
    </x:row>
    <x:row r="1378">
      <x:c r="D1378" s="46"/>
    </x:row>
    <x:row r="1379">
      <x:c r="D1379" s="46"/>
    </x:row>
    <x:row r="1380">
      <x:c r="D1380" s="46"/>
    </x:row>
    <x:row r="1381">
      <x:c r="D1381" s="46"/>
    </x:row>
    <x:row r="1382">
      <x:c r="D1382" s="46"/>
    </x:row>
    <x:row r="1383">
      <x:c r="D1383" s="46"/>
    </x:row>
    <x:row r="1384">
      <x:c r="D1384" s="46"/>
    </x:row>
    <x:row r="1385">
      <x:c r="D1385" s="46"/>
    </x:row>
    <x:row r="1386">
      <x:c r="D1386" s="46"/>
    </x:row>
    <x:row r="1387">
      <x:c r="D1387" s="46"/>
    </x:row>
    <x:row r="1388">
      <x:c r="D1388" s="46"/>
    </x:row>
    <x:row r="1389">
      <x:c r="D1389" s="46"/>
    </x:row>
    <x:row r="1390">
      <x:c r="D1390" s="46"/>
    </x:row>
    <x:row r="1391">
      <x:c r="D1391" s="46"/>
    </x:row>
    <x:row r="1392">
      <x:c r="D1392" s="46"/>
    </x:row>
    <x:row r="1393">
      <x:c r="D1393" s="46"/>
    </x:row>
    <x:row r="1394">
      <x:c r="D1394" s="46"/>
    </x:row>
    <x:row r="1395">
      <x:c r="D1395" s="46"/>
    </x:row>
    <x:row r="1396">
      <x:c r="D1396" s="46"/>
    </x:row>
    <x:row r="1397">
      <x:c r="D1397" s="46"/>
    </x:row>
    <x:row r="1398">
      <x:c r="D1398" s="46"/>
    </x:row>
    <x:row r="1399">
      <x:c r="D1399" s="46"/>
    </x:row>
    <x:row r="1400">
      <x:c r="D1400" s="46"/>
    </x:row>
    <x:row r="1401">
      <x:c r="D1401" s="46"/>
    </x:row>
    <x:row r="1402">
      <x:c r="D1402" s="46"/>
    </x:row>
    <x:row r="1403">
      <x:c r="D1403" s="46"/>
    </x:row>
    <x:row r="1404">
      <x:c r="D1404" s="46"/>
    </x:row>
    <x:row r="1405">
      <x:c r="D1405" s="46"/>
    </x:row>
    <x:row r="1406">
      <x:c r="D1406" s="46"/>
    </x:row>
    <x:row r="1407">
      <x:c r="D1407" s="46"/>
    </x:row>
    <x:row r="1408">
      <x:c r="D1408" s="46"/>
    </x:row>
    <x:row r="1409">
      <x:c r="D1409" s="46"/>
    </x:row>
    <x:row r="1410">
      <x:c r="D1410" s="46"/>
    </x:row>
    <x:row r="1411">
      <x:c r="D1411" s="46"/>
    </x:row>
    <x:row r="1412">
      <x:c r="D1412" s="46"/>
    </x:row>
    <x:row r="1413">
      <x:c r="D1413" s="46"/>
    </x:row>
    <x:row r="1414">
      <x:c r="D1414" s="46"/>
    </x:row>
    <x:row r="1415">
      <x:c r="D1415" s="46"/>
    </x:row>
    <x:row r="1416">
      <x:c r="D1416" s="46"/>
    </x:row>
    <x:row r="1417">
      <x:c r="D1417" s="46"/>
    </x:row>
    <x:row r="1418">
      <x:c r="D1418" s="46"/>
    </x:row>
    <x:row r="1419">
      <x:c r="D1419" s="46"/>
    </x:row>
    <x:row r="1420">
      <x:c r="D1420" s="46"/>
    </x:row>
    <x:row r="1421">
      <x:c r="D1421" s="46"/>
    </x:row>
    <x:row r="1422">
      <x:c r="D1422" s="46"/>
    </x:row>
    <x:row r="1423">
      <x:c r="D1423" s="46"/>
    </x:row>
    <x:row r="1424">
      <x:c r="D1424" s="46"/>
    </x:row>
    <x:row r="1425">
      <x:c r="D1425" s="46"/>
    </x:row>
    <x:row r="1426">
      <x:c r="D1426" s="46"/>
    </x:row>
    <x:row r="1427">
      <x:c r="D1427" s="46"/>
    </x:row>
    <x:row r="1428">
      <x:c r="D1428" s="46"/>
    </x:row>
    <x:row r="1429">
      <x:c r="D1429" s="46"/>
    </x:row>
    <x:row r="1430">
      <x:c r="D1430" s="46"/>
    </x:row>
    <x:row r="1431">
      <x:c r="D1431" s="46"/>
    </x:row>
    <x:row r="1432">
      <x:c r="D1432" s="46"/>
    </x:row>
    <x:row r="1433">
      <x:c r="D1433" s="46"/>
    </x:row>
    <x:row r="1434">
      <x:c r="D1434" s="46"/>
    </x:row>
    <x:row r="1435">
      <x:c r="D1435" s="46"/>
    </x:row>
    <x:row r="1436">
      <x:c r="D1436" s="46"/>
    </x:row>
    <x:row r="1437">
      <x:c r="D1437" s="46"/>
    </x:row>
    <x:row r="1438">
      <x:c r="D1438" s="46"/>
    </x:row>
    <x:row r="1439">
      <x:c r="D1439" s="46"/>
    </x:row>
    <x:row r="1440">
      <x:c r="D1440" s="46"/>
    </x:row>
    <x:row r="1441">
      <x:c r="D1441" s="46"/>
    </x:row>
    <x:row r="1442">
      <x:c r="D1442" s="46"/>
    </x:row>
    <x:row r="1443">
      <x:c r="D1443" s="46"/>
    </x:row>
    <x:row r="1444">
      <x:c r="D1444" s="46"/>
    </x:row>
    <x:row r="1445">
      <x:c r="D1445" s="46"/>
    </x:row>
    <x:row r="1446">
      <x:c r="D1446" s="46"/>
    </x:row>
    <x:row r="1447">
      <x:c r="D1447" s="46"/>
    </x:row>
    <x:row r="1448">
      <x:c r="D1448" s="46"/>
    </x:row>
    <x:row r="1449">
      <x:c r="D1449" s="46"/>
    </x:row>
    <x:row r="1450">
      <x:c r="D1450" s="46"/>
    </x:row>
    <x:row r="1451">
      <x:c r="D1451" s="46"/>
    </x:row>
    <x:row r="1452">
      <x:c r="D1452" s="46"/>
    </x:row>
    <x:row r="1453">
      <x:c r="D1453" s="46"/>
    </x:row>
    <x:row r="1454">
      <x:c r="D1454" s="46"/>
    </x:row>
    <x:row r="1455">
      <x:c r="D1455" s="46"/>
    </x:row>
    <x:row r="1456">
      <x:c r="D1456" s="46"/>
    </x:row>
    <x:row r="1457">
      <x:c r="D1457" s="46"/>
    </x:row>
    <x:row r="1458">
      <x:c r="D1458" s="46"/>
    </x:row>
    <x:row r="1459">
      <x:c r="D1459" s="46"/>
    </x:row>
    <x:row r="1460">
      <x:c r="D1460" s="46"/>
    </x:row>
    <x:row r="1461">
      <x:c r="D1461" s="46"/>
    </x:row>
    <x:row r="1462">
      <x:c r="D1462" s="46"/>
    </x:row>
    <x:row r="1463">
      <x:c r="D1463" s="46"/>
    </x:row>
    <x:row r="1464">
      <x:c r="D1464" s="46"/>
    </x:row>
    <x:row r="1465">
      <x:c r="D1465" s="46"/>
    </x:row>
    <x:row r="1466">
      <x:c r="D1466" s="46"/>
    </x:row>
    <x:row r="1467">
      <x:c r="D1467" s="46"/>
    </x:row>
    <x:row r="1468">
      <x:c r="D1468" s="46"/>
    </x:row>
    <x:row r="1469">
      <x:c r="D1469" s="46"/>
    </x:row>
    <x:row r="1470">
      <x:c r="D1470" s="46"/>
    </x:row>
    <x:row r="1471">
      <x:c r="D1471" s="46"/>
    </x:row>
    <x:row r="1472">
      <x:c r="D1472" s="46"/>
    </x:row>
    <x:row r="1473">
      <x:c r="D1473" s="46"/>
    </x:row>
    <x:row r="1474">
      <x:c r="D1474" s="46"/>
    </x:row>
    <x:row r="1475">
      <x:c r="D1475" s="46"/>
    </x:row>
    <x:row r="1476">
      <x:c r="D1476" s="46"/>
    </x:row>
    <x:row r="1477">
      <x:c r="D1477" s="46"/>
    </x:row>
    <x:row r="1478">
      <x:c r="D1478" s="46"/>
    </x:row>
    <x:row r="1479">
      <x:c r="D1479" s="46"/>
    </x:row>
    <x:row r="1480">
      <x:c r="D1480" s="46"/>
    </x:row>
    <x:row r="1481">
      <x:c r="D1481" s="46"/>
    </x:row>
    <x:row r="1482">
      <x:c r="D1482" s="46"/>
    </x:row>
    <x:row r="1483">
      <x:c r="D1483" s="46"/>
    </x:row>
    <x:row r="1484">
      <x:c r="D1484" s="46"/>
    </x:row>
    <x:row r="1485">
      <x:c r="D1485" s="46"/>
    </x:row>
    <x:row r="1486">
      <x:c r="D1486" s="46"/>
    </x:row>
    <x:row r="1487">
      <x:c r="D1487" s="46"/>
    </x:row>
    <x:row r="1488">
      <x:c r="D1488" s="46"/>
    </x:row>
    <x:row r="1489">
      <x:c r="D1489" s="46"/>
    </x:row>
    <x:row r="1490">
      <x:c r="D1490" s="46"/>
    </x:row>
    <x:row r="1491">
      <x:c r="D1491" s="46"/>
    </x:row>
    <x:row r="1492">
      <x:c r="D1492" s="46"/>
    </x:row>
    <x:row r="1493">
      <x:c r="D1493" s="46"/>
    </x:row>
    <x:row r="1494">
      <x:c r="D1494" s="46"/>
    </x:row>
    <x:row r="1495">
      <x:c r="D1495" s="46"/>
    </x:row>
    <x:row r="1496">
      <x:c r="D1496" s="46"/>
    </x:row>
    <x:row r="1497">
      <x:c r="D1497" s="46"/>
    </x:row>
    <x:row r="1498">
      <x:c r="D1498" s="46"/>
    </x:row>
    <x:row r="1499">
      <x:c r="D1499" s="46"/>
    </x:row>
    <x:row r="1500">
      <x:c r="D1500" s="46"/>
    </x:row>
    <x:row r="1501">
      <x:c r="D1501" s="46"/>
    </x:row>
    <x:row r="1502">
      <x:c r="D1502" s="46"/>
    </x:row>
    <x:row r="1503">
      <x:c r="D1503" s="46"/>
    </x:row>
    <x:row r="1504">
      <x:c r="D1504" s="46"/>
    </x:row>
    <x:row r="1505">
      <x:c r="D1505" s="46"/>
    </x:row>
    <x:row r="1506">
      <x:c r="D1506" s="46"/>
    </x:row>
    <x:row r="1507">
      <x:c r="D1507" s="46"/>
    </x:row>
    <x:row r="1508">
      <x:c r="D1508" s="46"/>
    </x:row>
    <x:row r="1509">
      <x:c r="D1509" s="46"/>
    </x:row>
    <x:row r="1510">
      <x:c r="D1510" s="46"/>
    </x:row>
    <x:row r="1511">
      <x:c r="D1511" s="46"/>
    </x:row>
    <x:row r="1512">
      <x:c r="D1512" s="46"/>
    </x:row>
    <x:row r="1513">
      <x:c r="D1513" s="46"/>
    </x:row>
    <x:row r="1514">
      <x:c r="D1514" s="46"/>
    </x:row>
    <x:row r="1515">
      <x:c r="D1515" s="46"/>
    </x:row>
    <x:row r="1516">
      <x:c r="D1516" s="46"/>
    </x:row>
    <x:row r="1517">
      <x:c r="D1517" s="46"/>
    </x:row>
    <x:row r="1518">
      <x:c r="D1518" s="46"/>
    </x:row>
    <x:row r="1519">
      <x:c r="D1519" s="46"/>
    </x:row>
    <x:row r="1520">
      <x:c r="D1520" s="46"/>
    </x:row>
    <x:row r="1521">
      <x:c r="D1521" s="46"/>
    </x:row>
    <x:row r="1522">
      <x:c r="D1522" s="46"/>
    </x:row>
    <x:row r="1523">
      <x:c r="D1523" s="46"/>
    </x:row>
    <x:row r="1524">
      <x:c r="D1524" s="46"/>
    </x:row>
    <x:row r="1525">
      <x:c r="D1525" s="46"/>
    </x:row>
    <x:row r="1526">
      <x:c r="D1526" s="46"/>
    </x:row>
    <x:row r="1527">
      <x:c r="D1527" s="46"/>
    </x:row>
    <x:row r="1528">
      <x:c r="D1528" s="46"/>
    </x:row>
    <x:row r="1529">
      <x:c r="D1529" s="46"/>
    </x:row>
    <x:row r="1530">
      <x:c r="D1530" s="46"/>
    </x:row>
    <x:row r="1531">
      <x:c r="D1531" s="46"/>
    </x:row>
    <x:row r="1532">
      <x:c r="D1532" s="46"/>
    </x:row>
    <x:row r="1533">
      <x:c r="D1533" s="46"/>
    </x:row>
    <x:row r="1534">
      <x:c r="D1534" s="46"/>
    </x:row>
    <x:row r="1535">
      <x:c r="D1535" s="46"/>
    </x:row>
    <x:row r="1536">
      <x:c r="D1536" s="46"/>
    </x:row>
    <x:row r="1537">
      <x:c r="D1537" s="46"/>
    </x:row>
    <x:row r="1538">
      <x:c r="D1538" s="46"/>
    </x:row>
    <x:row r="1539">
      <x:c r="D1539" s="46"/>
    </x:row>
    <x:row r="1540">
      <x:c r="D1540" s="46"/>
    </x:row>
    <x:row r="1541">
      <x:c r="D1541" s="46"/>
    </x:row>
    <x:row r="1542">
      <x:c r="D1542" s="46"/>
    </x:row>
    <x:row r="1543">
      <x:c r="D1543" s="46"/>
    </x:row>
    <x:row r="1544">
      <x:c r="D1544" s="46"/>
    </x:row>
    <x:row r="1545">
      <x:c r="D1545" s="46"/>
    </x:row>
    <x:row r="1546">
      <x:c r="D1546" s="46"/>
    </x:row>
    <x:row r="1547">
      <x:c r="D1547" s="46"/>
    </x:row>
    <x:row r="1548">
      <x:c r="D1548" s="46"/>
    </x:row>
    <x:row r="1549">
      <x:c r="D1549" s="46"/>
    </x:row>
    <x:row r="1550">
      <x:c r="D1550" s="46"/>
    </x:row>
    <x:row r="1551">
      <x:c r="D1551" s="46"/>
    </x:row>
    <x:row r="1552">
      <x:c r="D1552" s="46"/>
    </x:row>
    <x:row r="1553">
      <x:c r="D1553" s="46"/>
    </x:row>
    <x:row r="1554">
      <x:c r="D1554" s="46"/>
    </x:row>
    <x:row r="1555">
      <x:c r="D1555" s="46"/>
    </x:row>
    <x:row r="1556">
      <x:c r="D1556" s="46"/>
    </x:row>
    <x:row r="1557">
      <x:c r="D1557" s="46"/>
    </x:row>
    <x:row r="1558">
      <x:c r="D1558" s="46"/>
    </x:row>
    <x:row r="1559">
      <x:c r="D1559" s="46"/>
    </x:row>
    <x:row r="1560">
      <x:c r="D1560" s="46"/>
    </x:row>
    <x:row r="1561">
      <x:c r="D1561" s="46"/>
    </x:row>
    <x:row r="1562">
      <x:c r="D1562" s="46"/>
    </x:row>
    <x:row r="1563">
      <x:c r="D1563" s="46"/>
    </x:row>
    <x:row r="1564">
      <x:c r="D1564" s="46"/>
    </x:row>
    <x:row r="1565">
      <x:c r="D1565" s="46"/>
    </x:row>
    <x:row r="1566">
      <x:c r="D1566" s="46"/>
    </x:row>
    <x:row r="1567">
      <x:c r="D1567" s="46"/>
    </x:row>
    <x:row r="1568">
      <x:c r="D1568" s="46"/>
    </x:row>
    <x:row r="1569">
      <x:c r="D1569" s="46"/>
    </x:row>
    <x:row r="1570">
      <x:c r="D1570" s="46"/>
    </x:row>
    <x:row r="1571">
      <x:c r="D1571" s="46"/>
    </x:row>
    <x:row r="1572">
      <x:c r="D1572" s="46"/>
    </x:row>
    <x:row r="1573">
      <x:c r="D1573" s="46"/>
    </x:row>
    <x:row r="1574">
      <x:c r="D1574" s="46"/>
    </x:row>
    <x:row r="1575">
      <x:c r="D1575" s="46"/>
    </x:row>
    <x:row r="1576">
      <x:c r="D1576" s="46"/>
    </x:row>
    <x:row r="1577">
      <x:c r="D1577" s="46"/>
    </x:row>
    <x:row r="1578">
      <x:c r="D1578" s="46"/>
    </x:row>
    <x:row r="1579">
      <x:c r="D1579" s="46"/>
    </x:row>
    <x:row r="1580">
      <x:c r="D1580" s="46"/>
    </x:row>
    <x:row r="1581">
      <x:c r="D1581" s="46"/>
    </x:row>
    <x:row r="1582">
      <x:c r="D1582" s="46"/>
    </x:row>
    <x:row r="1583">
      <x:c r="D1583" s="46"/>
    </x:row>
    <x:row r="1584">
      <x:c r="D1584" s="46"/>
    </x:row>
    <x:row r="1585">
      <x:c r="D1585" s="46"/>
    </x:row>
    <x:row r="1586">
      <x:c r="D1586" s="46"/>
    </x:row>
    <x:row r="1587">
      <x:c r="D1587" s="46"/>
    </x:row>
    <x:row r="1588">
      <x:c r="D1588" s="46"/>
    </x:row>
    <x:row r="1589">
      <x:c r="D1589" s="46"/>
    </x:row>
    <x:row r="1590">
      <x:c r="D1590" s="46"/>
    </x:row>
    <x:row r="1591">
      <x:c r="D1591" s="46"/>
    </x:row>
    <x:row r="1592">
      <x:c r="D1592" s="46"/>
    </x:row>
    <x:row r="1593">
      <x:c r="D1593" s="46"/>
    </x:row>
    <x:row r="1594">
      <x:c r="D1594" s="46"/>
    </x:row>
    <x:row r="1595">
      <x:c r="D1595" s="46"/>
    </x:row>
    <x:row r="1596">
      <x:c r="D1596" s="46"/>
    </x:row>
    <x:row r="1597">
      <x:c r="D1597" s="46"/>
    </x:row>
    <x:row r="1598">
      <x:c r="D1598" s="46"/>
    </x:row>
    <x:row r="1599">
      <x:c r="D1599" s="46"/>
    </x:row>
    <x:row r="1600">
      <x:c r="D1600" s="46"/>
    </x:row>
    <x:row r="1601">
      <x:c r="D1601" s="46"/>
    </x:row>
    <x:row r="1602">
      <x:c r="D1602" s="46"/>
    </x:row>
    <x:row r="1603">
      <x:c r="D1603" s="46"/>
    </x:row>
    <x:row r="1604">
      <x:c r="D1604" s="46"/>
    </x:row>
    <x:row r="1605">
      <x:c r="D1605" s="46"/>
    </x:row>
    <x:row r="1606">
      <x:c r="D1606" s="46"/>
    </x:row>
    <x:row r="1607">
      <x:c r="D1607" s="46"/>
    </x:row>
    <x:row r="1608">
      <x:c r="D1608" s="46"/>
    </x:row>
    <x:row r="1609">
      <x:c r="D1609" s="46"/>
    </x:row>
    <x:row r="1610">
      <x:c r="D1610" s="46"/>
    </x:row>
    <x:row r="1611">
      <x:c r="D1611" s="46"/>
    </x:row>
    <x:row r="1612">
      <x:c r="D1612" s="46"/>
    </x:row>
    <x:row r="1613">
      <x:c r="D1613" s="46"/>
    </x:row>
    <x:row r="1614">
      <x:c r="D1614" s="46"/>
    </x:row>
    <x:row r="1615">
      <x:c r="D1615" s="46"/>
    </x:row>
    <x:row r="1616">
      <x:c r="D1616" s="46"/>
    </x:row>
    <x:row r="1617">
      <x:c r="D1617" s="46"/>
    </x:row>
    <x:row r="1618">
      <x:c r="D1618" s="46"/>
    </x:row>
    <x:row r="1619">
      <x:c r="D1619" s="46"/>
    </x:row>
    <x:row r="1620">
      <x:c r="D1620" s="46"/>
    </x:row>
    <x:row r="1621">
      <x:c r="D1621" s="46"/>
    </x:row>
    <x:row r="1622">
      <x:c r="D1622" s="46"/>
    </x:row>
    <x:row r="1623">
      <x:c r="D1623" s="46"/>
    </x:row>
    <x:row r="1624">
      <x:c r="D1624" s="46"/>
    </x:row>
    <x:row r="1625">
      <x:c r="D1625" s="46"/>
    </x:row>
    <x:row r="1626">
      <x:c r="D1626" s="46"/>
    </x:row>
    <x:row r="1627">
      <x:c r="D1627" s="46"/>
    </x:row>
    <x:row r="1628">
      <x:c r="D1628" s="46"/>
    </x:row>
    <x:row r="1629">
      <x:c r="D1629" s="46"/>
    </x:row>
    <x:row r="1630">
      <x:c r="D1630" s="46"/>
    </x:row>
    <x:row r="1631">
      <x:c r="D1631" s="46"/>
    </x:row>
    <x:row r="1632">
      <x:c r="D1632" s="46"/>
    </x:row>
    <x:row r="1633">
      <x:c r="D1633" s="46"/>
    </x:row>
    <x:row r="1634">
      <x:c r="D1634" s="46"/>
    </x:row>
    <x:row r="1635">
      <x:c r="D1635" s="46"/>
    </x:row>
    <x:row r="1636">
      <x:c r="D1636" s="46"/>
    </x:row>
    <x:row r="1637">
      <x:c r="D1637" s="46"/>
    </x:row>
    <x:row r="1638">
      <x:c r="D1638" s="46"/>
    </x:row>
    <x:row r="1639">
      <x:c r="D1639" s="46"/>
    </x:row>
    <x:row r="1640">
      <x:c r="D1640" s="46"/>
    </x:row>
    <x:row r="1641">
      <x:c r="D1641" s="46"/>
    </x:row>
    <x:row r="1642">
      <x:c r="D1642" s="46"/>
    </x:row>
    <x:row r="1643">
      <x:c r="D1643" s="46"/>
    </x:row>
    <x:row r="1644">
      <x:c r="D1644" s="46"/>
    </x:row>
    <x:row r="1645">
      <x:c r="D1645" s="46"/>
    </x:row>
    <x:row r="1646">
      <x:c r="D1646" s="46"/>
    </x:row>
    <x:row r="1647">
      <x:c r="D1647" s="46"/>
    </x:row>
    <x:row r="1648">
      <x:c r="D1648" s="46"/>
    </x:row>
    <x:row r="1649">
      <x:c r="D1649" s="46"/>
    </x:row>
    <x:row r="1650">
      <x:c r="D1650" s="46"/>
    </x:row>
    <x:row r="1651">
      <x:c r="D1651" s="46"/>
    </x:row>
    <x:row r="1652">
      <x:c r="D1652" s="46"/>
    </x:row>
    <x:row r="1653">
      <x:c r="D1653" s="46"/>
    </x:row>
    <x:row r="1654">
      <x:c r="D1654" s="46"/>
    </x:row>
    <x:row r="1655">
      <x:c r="D1655" s="46"/>
    </x:row>
    <x:row r="1656">
      <x:c r="D1656" s="46"/>
    </x:row>
    <x:row r="1657">
      <x:c r="D1657" s="46"/>
    </x:row>
    <x:row r="1658">
      <x:c r="D1658" s="46"/>
    </x:row>
    <x:row r="1659">
      <x:c r="D1659" s="46"/>
    </x:row>
    <x:row r="1660">
      <x:c r="D1660" s="46"/>
    </x:row>
    <x:row r="1661">
      <x:c r="D1661" s="46"/>
    </x:row>
    <x:row r="1662">
      <x:c r="D1662" s="46"/>
    </x:row>
    <x:row r="1663">
      <x:c r="D1663" s="46"/>
    </x:row>
    <x:row r="1664">
      <x:c r="D1664" s="46"/>
    </x:row>
    <x:row r="1665">
      <x:c r="D1665" s="46"/>
    </x:row>
    <x:row r="1666">
      <x:c r="D1666" s="46"/>
    </x:row>
    <x:row r="1667">
      <x:c r="D1667" s="46"/>
    </x:row>
    <x:row r="1668">
      <x:c r="D1668" s="46"/>
    </x:row>
    <x:row r="1669">
      <x:c r="D1669" s="46"/>
    </x:row>
    <x:row r="1670">
      <x:c r="D1670" s="46"/>
    </x:row>
    <x:row r="1671">
      <x:c r="D1671" s="46"/>
    </x:row>
    <x:row r="1672">
      <x:c r="D1672" s="46"/>
    </x:row>
    <x:row r="1673">
      <x:c r="D1673" s="46"/>
    </x:row>
    <x:row r="1674">
      <x:c r="D1674" s="46"/>
    </x:row>
    <x:row r="1675">
      <x:c r="D1675" s="46"/>
    </x:row>
    <x:row r="1676">
      <x:c r="D1676" s="46"/>
    </x:row>
    <x:row r="1677">
      <x:c r="D1677" s="46"/>
    </x:row>
    <x:row r="1678">
      <x:c r="D1678" s="46"/>
    </x:row>
    <x:row r="1679">
      <x:c r="D1679" s="46"/>
    </x:row>
    <x:row r="1680">
      <x:c r="D1680" s="46"/>
    </x:row>
    <x:row r="1681">
      <x:c r="D1681" s="46"/>
    </x:row>
    <x:row r="1682">
      <x:c r="D1682" s="46"/>
    </x:row>
    <x:row r="1683">
      <x:c r="D1683" s="46"/>
    </x:row>
    <x:row r="1684">
      <x:c r="D1684" s="46"/>
    </x:row>
    <x:row r="1685">
      <x:c r="D1685" s="46"/>
    </x:row>
    <x:row r="1686">
      <x:c r="D1686" s="46"/>
    </x:row>
    <x:row r="1687">
      <x:c r="D1687" s="46"/>
    </x:row>
    <x:row r="1688">
      <x:c r="D1688" s="46"/>
    </x:row>
    <x:row r="1689">
      <x:c r="D1689" s="46"/>
    </x:row>
    <x:row r="1690">
      <x:c r="D1690" s="46"/>
    </x:row>
    <x:row r="1691">
      <x:c r="D1691" s="46"/>
    </x:row>
    <x:row r="1692">
      <x:c r="D1692" s="46"/>
    </x:row>
    <x:row r="1693">
      <x:c r="D1693" s="46"/>
    </x:row>
    <x:row r="1694">
      <x:c r="D1694" s="46"/>
    </x:row>
    <x:row r="1695">
      <x:c r="D1695" s="46"/>
    </x:row>
    <x:row r="1696">
      <x:c r="D1696" s="46"/>
    </x:row>
    <x:row r="1697">
      <x:c r="D1697" s="46"/>
    </x:row>
    <x:row r="1698">
      <x:c r="D1698" s="46"/>
    </x:row>
    <x:row r="1699">
      <x:c r="D1699" s="46"/>
    </x:row>
    <x:row r="1700">
      <x:c r="D1700" s="46"/>
    </x:row>
    <x:row r="1701">
      <x:c r="D1701" s="46"/>
    </x:row>
    <x:row r="1702">
      <x:c r="D1702" s="46"/>
    </x:row>
    <x:row r="1703">
      <x:c r="D1703" s="46"/>
    </x:row>
    <x:row r="1704">
      <x:c r="D1704" s="46"/>
    </x:row>
    <x:row r="1705">
      <x:c r="D1705" s="46"/>
    </x:row>
    <x:row r="1706">
      <x:c r="D1706" s="46"/>
    </x:row>
    <x:row r="1707">
      <x:c r="D1707" s="46"/>
    </x:row>
    <x:row r="1708">
      <x:c r="D1708" s="46"/>
    </x:row>
    <x:row r="1709">
      <x:c r="D1709" s="46"/>
    </x:row>
    <x:row r="1710">
      <x:c r="D1710" s="46"/>
    </x:row>
    <x:row r="1711">
      <x:c r="D1711" s="46"/>
    </x:row>
    <x:row r="1712">
      <x:c r="D1712" s="46"/>
    </x:row>
    <x:row r="1713">
      <x:c r="D1713" s="46"/>
    </x:row>
    <x:row r="1714">
      <x:c r="D1714" s="46"/>
    </x:row>
    <x:row r="1715">
      <x:c r="D1715" s="46"/>
    </x:row>
    <x:row r="1716">
      <x:c r="D1716" s="46"/>
    </x:row>
    <x:row r="1717">
      <x:c r="D1717" s="46"/>
    </x:row>
    <x:row r="1718">
      <x:c r="D1718" s="46"/>
    </x:row>
    <x:row r="1719">
      <x:c r="D1719" s="46"/>
    </x:row>
    <x:row r="1720">
      <x:c r="D1720" s="46"/>
    </x:row>
    <x:row r="1721">
      <x:c r="D1721" s="46"/>
    </x:row>
    <x:row r="1722">
      <x:c r="D1722" s="46"/>
    </x:row>
    <x:row r="1723">
      <x:c r="D1723" s="46"/>
    </x:row>
    <x:row r="1724">
      <x:c r="D1724" s="46"/>
    </x:row>
    <x:row r="1725">
      <x:c r="D1725" s="46"/>
    </x:row>
    <x:row r="1726">
      <x:c r="D1726" s="46"/>
    </x:row>
    <x:row r="1727">
      <x:c r="D1727" s="46"/>
    </x:row>
    <x:row r="1728">
      <x:c r="D1728" s="46"/>
    </x:row>
    <x:row r="1729">
      <x:c r="D1729" s="46"/>
    </x:row>
    <x:row r="1730">
      <x:c r="D1730" s="46"/>
    </x:row>
    <x:row r="1731">
      <x:c r="D1731" s="46"/>
    </x:row>
    <x:row r="1732">
      <x:c r="D1732" s="46"/>
    </x:row>
    <x:row r="1733">
      <x:c r="D1733" s="46"/>
    </x:row>
    <x:row r="1734">
      <x:c r="D1734" s="46"/>
    </x:row>
    <x:row r="1735">
      <x:c r="D1735" s="46"/>
    </x:row>
    <x:row r="1736">
      <x:c r="D1736" s="46"/>
    </x:row>
    <x:row r="1737">
      <x:c r="D1737" s="46"/>
    </x:row>
    <x:row r="1738">
      <x:c r="D1738" s="46"/>
    </x:row>
    <x:row r="1739">
      <x:c r="D1739" s="46"/>
    </x:row>
    <x:row r="1740">
      <x:c r="D1740" s="46"/>
    </x:row>
    <x:row r="1741">
      <x:c r="D1741" s="46"/>
    </x:row>
    <x:row r="1742">
      <x:c r="D1742" s="46"/>
    </x:row>
    <x:row r="1743">
      <x:c r="D1743" s="46"/>
    </x:row>
    <x:row r="1744">
      <x:c r="D1744" s="46"/>
    </x:row>
    <x:row r="1745">
      <x:c r="D1745" s="46"/>
    </x:row>
    <x:row r="1746">
      <x:c r="D1746" s="46"/>
    </x:row>
    <x:row r="1747">
      <x:c r="D1747" s="46"/>
    </x:row>
    <x:row r="1748">
      <x:c r="D1748" s="46"/>
    </x:row>
    <x:row r="1749">
      <x:c r="D1749" s="46"/>
    </x:row>
    <x:row r="1750">
      <x:c r="D1750" s="46"/>
    </x:row>
    <x:row r="1751">
      <x:c r="D1751" s="46"/>
    </x:row>
    <x:row r="1752">
      <x:c r="D1752" s="46"/>
    </x:row>
    <x:row r="1753">
      <x:c r="D1753" s="46"/>
    </x:row>
    <x:row r="1754">
      <x:c r="D1754" s="46"/>
    </x:row>
    <x:row r="1755">
      <x:c r="D1755" s="46"/>
    </x:row>
    <x:row r="1756">
      <x:c r="D1756" s="46"/>
    </x:row>
    <x:row r="1757">
      <x:c r="D1757" s="46"/>
    </x:row>
    <x:row r="1758">
      <x:c r="D1758" s="46"/>
    </x:row>
    <x:row r="1759">
      <x:c r="D1759" s="46"/>
    </x:row>
    <x:row r="1760">
      <x:c r="D1760" s="46"/>
    </x:row>
    <x:row r="1761">
      <x:c r="D1761" s="46"/>
    </x:row>
    <x:row r="1762">
      <x:c r="D1762" s="46"/>
    </x:row>
    <x:row r="1763">
      <x:c r="D1763" s="46"/>
    </x:row>
    <x:row r="1764">
      <x:c r="D1764" s="46"/>
    </x:row>
    <x:row r="1765">
      <x:c r="D1765" s="46"/>
    </x:row>
    <x:row r="1766">
      <x:c r="D1766" s="46"/>
    </x:row>
    <x:row r="1767">
      <x:c r="D1767" s="46"/>
    </x:row>
    <x:row r="1768">
      <x:c r="D1768" s="46"/>
    </x:row>
    <x:row r="1769">
      <x:c r="D1769" s="46"/>
    </x:row>
    <x:row r="1770">
      <x:c r="D1770" s="46"/>
    </x:row>
    <x:row r="1771">
      <x:c r="D1771" s="46"/>
    </x:row>
    <x:row r="1772">
      <x:c r="D1772" s="46"/>
    </x:row>
    <x:row r="1773">
      <x:c r="D1773" s="46"/>
    </x:row>
    <x:row r="1774">
      <x:c r="D1774" s="46"/>
    </x:row>
    <x:row r="1775">
      <x:c r="D1775" s="46"/>
    </x:row>
    <x:row r="1776">
      <x:c r="D1776" s="46"/>
    </x:row>
    <x:row r="1777">
      <x:c r="D1777" s="46"/>
    </x:row>
    <x:row r="1778">
      <x:c r="D1778" s="46"/>
    </x:row>
    <x:row r="1779">
      <x:c r="D1779" s="46"/>
    </x:row>
    <x:row r="1780">
      <x:c r="D1780" s="46"/>
    </x:row>
    <x:row r="1781">
      <x:c r="D1781" s="46"/>
    </x:row>
    <x:row r="1782">
      <x:c r="D1782" s="46"/>
    </x:row>
    <x:row r="1783">
      <x:c r="D1783" s="46"/>
    </x:row>
    <x:row r="1784">
      <x:c r="D1784" s="46"/>
    </x:row>
    <x:row r="1785">
      <x:c r="D1785" s="46"/>
    </x:row>
    <x:row r="1786">
      <x:c r="D1786" s="46"/>
    </x:row>
    <x:row r="1787">
      <x:c r="D1787" s="46"/>
    </x:row>
    <x:row r="1788">
      <x:c r="D1788" s="46"/>
    </x:row>
    <x:row r="1789">
      <x:c r="D1789" s="46"/>
    </x:row>
    <x:row r="1790">
      <x:c r="D1790" s="46"/>
    </x:row>
    <x:row r="1791">
      <x:c r="D1791" s="46"/>
    </x:row>
    <x:row r="1792">
      <x:c r="D1792" s="46"/>
    </x:row>
    <x:row r="1793">
      <x:c r="D1793" s="46"/>
    </x:row>
    <x:row r="1794">
      <x:c r="D1794" s="46"/>
    </x:row>
    <x:row r="1795">
      <x:c r="D1795" s="46"/>
    </x:row>
    <x:row r="1796">
      <x:c r="D1796" s="46"/>
    </x:row>
    <x:row r="1797">
      <x:c r="D1797" s="46"/>
    </x:row>
    <x:row r="1798">
      <x:c r="D1798" s="46"/>
    </x:row>
    <x:row r="1799">
      <x:c r="D1799" s="46"/>
    </x:row>
    <x:row r="1800">
      <x:c r="D1800" s="46"/>
    </x:row>
    <x:row r="1801">
      <x:c r="D1801" s="46"/>
    </x:row>
    <x:row r="1802">
      <x:c r="D1802" s="46"/>
    </x:row>
    <x:row r="1803">
      <x:c r="D1803" s="46"/>
    </x:row>
    <x:row r="1804">
      <x:c r="D1804" s="46"/>
    </x:row>
    <x:row r="1805">
      <x:c r="D1805" s="46"/>
    </x:row>
    <x:row r="1806">
      <x:c r="D1806" s="46"/>
    </x:row>
    <x:row r="1807">
      <x:c r="D1807" s="46"/>
    </x:row>
    <x:row r="1808">
      <x:c r="D1808" s="46"/>
    </x:row>
    <x:row r="1809">
      <x:c r="D1809" s="46"/>
    </x:row>
    <x:row r="1810">
      <x:c r="D1810" s="46"/>
    </x:row>
    <x:row r="1811">
      <x:c r="D1811" s="46"/>
    </x:row>
    <x:row r="1812">
      <x:c r="D1812" s="46"/>
    </x:row>
    <x:row r="1813">
      <x:c r="D1813" s="46"/>
    </x:row>
    <x:row r="1814">
      <x:c r="D1814" s="46"/>
    </x:row>
    <x:row r="1815">
      <x:c r="D1815" s="46"/>
    </x:row>
    <x:row r="1816">
      <x:c r="D1816" s="46"/>
    </x:row>
    <x:row r="1817">
      <x:c r="D1817" s="46"/>
    </x:row>
    <x:row r="1818">
      <x:c r="D1818" s="46"/>
    </x:row>
    <x:row r="1819">
      <x:c r="D1819" s="46"/>
    </x:row>
    <x:row r="1820">
      <x:c r="D1820" s="46"/>
    </x:row>
    <x:row r="1821">
      <x:c r="D1821" s="46"/>
    </x:row>
    <x:row r="1822">
      <x:c r="D1822" s="46"/>
    </x:row>
    <x:row r="1823">
      <x:c r="D1823" s="46"/>
    </x:row>
    <x:row r="1824">
      <x:c r="D1824" s="46"/>
    </x:row>
    <x:row r="1825">
      <x:c r="D1825" s="46"/>
    </x:row>
    <x:row r="1826">
      <x:c r="D1826" s="46"/>
    </x:row>
    <x:row r="1827">
      <x:c r="D1827" s="46"/>
    </x:row>
    <x:row r="1828">
      <x:c r="D1828" s="46"/>
    </x:row>
    <x:row r="1829">
      <x:c r="D1829" s="46"/>
    </x:row>
    <x:row r="1830">
      <x:c r="D1830" s="46"/>
    </x:row>
    <x:row r="1831">
      <x:c r="D1831" s="46"/>
    </x:row>
    <x:row r="1832">
      <x:c r="D1832" s="46"/>
    </x:row>
    <x:row r="1833">
      <x:c r="D1833" s="46"/>
    </x:row>
    <x:row r="1834">
      <x:c r="D1834" s="46"/>
    </x:row>
    <x:row r="1835">
      <x:c r="D1835" s="46"/>
    </x:row>
    <x:row r="1836">
      <x:c r="D1836" s="46"/>
    </x:row>
    <x:row r="1837">
      <x:c r="D1837" s="46"/>
    </x:row>
    <x:row r="1838">
      <x:c r="D1838" s="46"/>
    </x:row>
    <x:row r="1839">
      <x:c r="D1839" s="46"/>
    </x:row>
    <x:row r="1840">
      <x:c r="D1840" s="46"/>
    </x:row>
    <x:row r="1841">
      <x:c r="D1841" s="46"/>
    </x:row>
    <x:row r="1842">
      <x:c r="D1842" s="46"/>
    </x:row>
    <x:row r="1843">
      <x:c r="D1843" s="46"/>
    </x:row>
    <x:row r="1844">
      <x:c r="D1844" s="46"/>
    </x:row>
    <x:row r="1845">
      <x:c r="D1845" s="46"/>
    </x:row>
    <x:row r="1846">
      <x:c r="D1846" s="46"/>
    </x:row>
    <x:row r="1847">
      <x:c r="D1847" s="46"/>
    </x:row>
    <x:row r="1848">
      <x:c r="D1848" s="46"/>
    </x:row>
    <x:row r="1849">
      <x:c r="D1849" s="46"/>
    </x:row>
    <x:row r="1850">
      <x:c r="D1850" s="46"/>
    </x:row>
    <x:row r="1851">
      <x:c r="D1851" s="46"/>
    </x:row>
    <x:row r="1852">
      <x:c r="D1852" s="46"/>
    </x:row>
    <x:row r="1853">
      <x:c r="D1853" s="46"/>
    </x:row>
    <x:row r="1854">
      <x:c r="D1854" s="46"/>
    </x:row>
    <x:row r="1855">
      <x:c r="D1855" s="46"/>
    </x:row>
    <x:row r="1856">
      <x:c r="D1856" s="46"/>
    </x:row>
    <x:row r="1857">
      <x:c r="D1857" s="46"/>
    </x:row>
    <x:row r="1858">
      <x:c r="D1858" s="46"/>
    </x:row>
    <x:row r="1859">
      <x:c r="D1859" s="46"/>
    </x:row>
    <x:row r="1860">
      <x:c r="D1860" s="46"/>
    </x:row>
    <x:row r="1861">
      <x:c r="D1861" s="46"/>
    </x:row>
    <x:row r="1862">
      <x:c r="D1862" s="46"/>
    </x:row>
    <x:row r="1863">
      <x:c r="D1863" s="46"/>
    </x:row>
    <x:row r="1864">
      <x:c r="D1864" s="46"/>
    </x:row>
    <x:row r="1865">
      <x:c r="D1865" s="46"/>
    </x:row>
    <x:row r="1866">
      <x:c r="D1866" s="46"/>
    </x:row>
    <x:row r="1867">
      <x:c r="D1867" s="46"/>
    </x:row>
    <x:row r="1868">
      <x:c r="D1868" s="46"/>
    </x:row>
    <x:row r="1869">
      <x:c r="D1869" s="46"/>
    </x:row>
    <x:row r="1870">
      <x:c r="D1870" s="46"/>
    </x:row>
    <x:row r="1871">
      <x:c r="D1871" s="46"/>
    </x:row>
    <x:row r="1872">
      <x:c r="D1872" s="46"/>
    </x:row>
    <x:row r="1873">
      <x:c r="D1873" s="46"/>
    </x:row>
    <x:row r="1874">
      <x:c r="D1874" s="46"/>
    </x:row>
    <x:row r="1875">
      <x:c r="D1875" s="46"/>
    </x:row>
    <x:row r="1876">
      <x:c r="D1876" s="46"/>
    </x:row>
    <x:row r="1877">
      <x:c r="D1877" s="46"/>
    </x:row>
    <x:row r="1878">
      <x:c r="D1878" s="46"/>
    </x:row>
    <x:row r="1879">
      <x:c r="D1879" s="46"/>
    </x:row>
    <x:row r="1880">
      <x:c r="D1880" s="46"/>
    </x:row>
    <x:row r="1881">
      <x:c r="D1881" s="46"/>
    </x:row>
    <x:row r="1882">
      <x:c r="D1882" s="46"/>
    </x:row>
    <x:row r="1883">
      <x:c r="D1883" s="46"/>
    </x:row>
    <x:row r="1884">
      <x:c r="D1884" s="46"/>
    </x:row>
    <x:row r="1885">
      <x:c r="D1885" s="46"/>
    </x:row>
    <x:row r="1886">
      <x:c r="D1886" s="46"/>
    </x:row>
    <x:row r="1887">
      <x:c r="D1887" s="46"/>
    </x:row>
    <x:row r="1888">
      <x:c r="D1888" s="46"/>
    </x:row>
    <x:row r="1889">
      <x:c r="D1889" s="46"/>
    </x:row>
    <x:row r="1890">
      <x:c r="D1890" s="46"/>
    </x:row>
    <x:row r="1891">
      <x:c r="D1891" s="46"/>
    </x:row>
    <x:row r="1892">
      <x:c r="D1892" s="46"/>
    </x:row>
    <x:row r="1893">
      <x:c r="D1893" s="46"/>
    </x:row>
    <x:row r="1894">
      <x:c r="D1894" s="46"/>
    </x:row>
    <x:row r="1895">
      <x:c r="D1895" s="46"/>
    </x:row>
    <x:row r="1896">
      <x:c r="D1896" s="46"/>
    </x:row>
    <x:row r="1897">
      <x:c r="D1897" s="46"/>
    </x:row>
    <x:row r="1898">
      <x:c r="D1898" s="46"/>
    </x:row>
    <x:row r="1899">
      <x:c r="D1899" s="46"/>
    </x:row>
    <x:row r="1900">
      <x:c r="D1900" s="46"/>
    </x:row>
    <x:row r="1901">
      <x:c r="D1901" s="46"/>
    </x:row>
    <x:row r="1902">
      <x:c r="D1902" s="46"/>
    </x:row>
    <x:row r="1903">
      <x:c r="D1903" s="46"/>
    </x:row>
    <x:row r="1904">
      <x:c r="D1904" s="46"/>
    </x:row>
    <x:row r="1905">
      <x:c r="D1905" s="46"/>
    </x:row>
    <x:row r="1906">
      <x:c r="D1906" s="46"/>
    </x:row>
    <x:row r="1907">
      <x:c r="D1907" s="46"/>
    </x:row>
    <x:row r="1908">
      <x:c r="D1908" s="46"/>
    </x:row>
    <x:row r="1909">
      <x:c r="D1909" s="46"/>
    </x:row>
    <x:row r="1910">
      <x:c r="D1910" s="46"/>
    </x:row>
    <x:row r="1911">
      <x:c r="D1911" s="46"/>
    </x:row>
    <x:row r="1912">
      <x:c r="D1912" s="46"/>
    </x:row>
    <x:row r="1913">
      <x:c r="D1913" s="46"/>
    </x:row>
    <x:row r="1914">
      <x:c r="D1914" s="46"/>
    </x:row>
    <x:row r="1915">
      <x:c r="D1915" s="46"/>
    </x:row>
    <x:row r="1916">
      <x:c r="D1916" s="46"/>
    </x:row>
    <x:row r="1917">
      <x:c r="D1917" s="46"/>
    </x:row>
    <x:row r="1918">
      <x:c r="D1918" s="46"/>
    </x:row>
    <x:row r="1919">
      <x:c r="D1919" s="46"/>
    </x:row>
    <x:row r="1920">
      <x:c r="D1920" s="46"/>
    </x:row>
    <x:row r="1921">
      <x:c r="D1921" s="46"/>
    </x:row>
    <x:row r="1922">
      <x:c r="D1922" s="46"/>
    </x:row>
    <x:row r="1923">
      <x:c r="D1923" s="46"/>
    </x:row>
    <x:row r="1924">
      <x:c r="D1924" s="46"/>
    </x:row>
    <x:row r="1925">
      <x:c r="D1925" s="46"/>
    </x:row>
    <x:row r="1926">
      <x:c r="D1926" s="46"/>
    </x:row>
    <x:row r="1927">
      <x:c r="D1927" s="46"/>
    </x:row>
    <x:row r="1928">
      <x:c r="D1928" s="46"/>
    </x:row>
    <x:row r="1929">
      <x:c r="D1929" s="46"/>
    </x:row>
    <x:row r="1930">
      <x:c r="D1930" s="46"/>
    </x:row>
    <x:row r="1931">
      <x:c r="D1931" s="46"/>
    </x:row>
    <x:row r="1932">
      <x:c r="D1932" s="46"/>
    </x:row>
    <x:row r="1933">
      <x:c r="D1933" s="46"/>
    </x:row>
    <x:row r="1934">
      <x:c r="D1934" s="46"/>
    </x:row>
    <x:row r="1935">
      <x:c r="D1935" s="46"/>
    </x:row>
    <x:row r="1936">
      <x:c r="D1936" s="46"/>
    </x:row>
    <x:row r="1937">
      <x:c r="D1937" s="46"/>
    </x:row>
    <x:row r="1938">
      <x:c r="D1938" s="46"/>
    </x:row>
    <x:row r="1939">
      <x:c r="D1939" s="46"/>
    </x:row>
    <x:row r="1940">
      <x:c r="D1940" s="46"/>
    </x:row>
    <x:row r="1941">
      <x:c r="D1941" s="46"/>
    </x:row>
    <x:row r="1942">
      <x:c r="D1942" s="46"/>
    </x:row>
    <x:row r="1943">
      <x:c r="D1943" s="46"/>
    </x:row>
    <x:row r="1944">
      <x:c r="D1944" s="46"/>
    </x:row>
    <x:row r="1945">
      <x:c r="D1945" s="46"/>
    </x:row>
    <x:row r="1946">
      <x:c r="D1946" s="46"/>
    </x:row>
    <x:row r="1947">
      <x:c r="D1947" s="46"/>
    </x:row>
    <x:row r="1948">
      <x:c r="D1948" s="46"/>
    </x:row>
    <x:row r="1949">
      <x:c r="D1949" s="46"/>
    </x:row>
    <x:row r="1950">
      <x:c r="D1950" s="46"/>
    </x:row>
    <x:row r="1951">
      <x:c r="D1951" s="46"/>
    </x:row>
    <x:row r="1952">
      <x:c r="D1952" s="46"/>
    </x:row>
    <x:row r="1953">
      <x:c r="D1953" s="46"/>
    </x:row>
    <x:row r="1954">
      <x:c r="D1954" s="46"/>
    </x:row>
    <x:row r="1955">
      <x:c r="D1955" s="46"/>
    </x:row>
    <x:row r="1956">
      <x:c r="D1956" s="46"/>
    </x:row>
    <x:row r="1957">
      <x:c r="D1957" s="46"/>
    </x:row>
    <x:row r="1958">
      <x:c r="D1958" s="46"/>
    </x:row>
    <x:row r="1959">
      <x:c r="D1959" s="46"/>
    </x:row>
    <x:row r="1960">
      <x:c r="D1960" s="46"/>
    </x:row>
    <x:row r="1961">
      <x:c r="D1961" s="46"/>
    </x:row>
    <x:row r="1962">
      <x:c r="D1962" s="46"/>
    </x:row>
    <x:row r="1963">
      <x:c r="D1963" s="46"/>
    </x:row>
    <x:row r="1964">
      <x:c r="D1964" s="46"/>
    </x:row>
    <x:row r="1965">
      <x:c r="D1965" s="46"/>
    </x:row>
    <x:row r="1966">
      <x:c r="D1966" s="46"/>
    </x:row>
    <x:row r="1967">
      <x:c r="D1967" s="46"/>
    </x:row>
    <x:row r="1968">
      <x:c r="D1968" s="46"/>
    </x:row>
    <x:row r="1969">
      <x:c r="D1969" s="46"/>
    </x:row>
    <x:row r="1970">
      <x:c r="D1970" s="46"/>
    </x:row>
    <x:row r="1971">
      <x:c r="D1971" s="46"/>
    </x:row>
    <x:row r="1972">
      <x:c r="D1972" s="46"/>
    </x:row>
    <x:row r="1973">
      <x:c r="D1973" s="46"/>
    </x:row>
    <x:row r="1974">
      <x:c r="D1974" s="46"/>
    </x:row>
    <x:row r="1975">
      <x:c r="D1975" s="46"/>
    </x:row>
    <x:row r="1976">
      <x:c r="D1976" s="46"/>
    </x:row>
    <x:row r="1977">
      <x:c r="D1977" s="46"/>
    </x:row>
    <x:row r="1978">
      <x:c r="D1978" s="46"/>
    </x:row>
    <x:row r="1979">
      <x:c r="D1979" s="46"/>
    </x:row>
    <x:row r="1980">
      <x:c r="D1980" s="46"/>
    </x:row>
    <x:row r="1981">
      <x:c r="D1981" s="46"/>
    </x:row>
    <x:row r="1982">
      <x:c r="D1982" s="46"/>
    </x:row>
    <x:row r="1983">
      <x:c r="D1983" s="46"/>
    </x:row>
    <x:row r="1984">
      <x:c r="D1984" s="46"/>
    </x:row>
    <x:row r="1985">
      <x:c r="D1985" s="46"/>
    </x:row>
    <x:row r="1986">
      <x:c r="D1986" s="46"/>
    </x:row>
    <x:row r="1987">
      <x:c r="D1987" s="46"/>
    </x:row>
    <x:row r="1988">
      <x:c r="D1988" s="46"/>
    </x:row>
    <x:row r="1989">
      <x:c r="D1989" s="46"/>
    </x:row>
    <x:row r="1990">
      <x:c r="D1990" s="46"/>
    </x:row>
    <x:row r="1991">
      <x:c r="D1991" s="46"/>
    </x:row>
    <x:row r="1992">
      <x:c r="D1992" s="46"/>
    </x:row>
    <x:row r="1993">
      <x:c r="D1993" s="46"/>
    </x:row>
    <x:row r="1994">
      <x:c r="D1994" s="46"/>
    </x:row>
    <x:row r="1995">
      <x:c r="D1995" s="46"/>
    </x:row>
    <x:row r="1996">
      <x:c r="D1996" s="46"/>
    </x:row>
    <x:row r="1997">
      <x:c r="D1997" s="46"/>
    </x:row>
    <x:row r="1998">
      <x:c r="D1998" s="46"/>
    </x:row>
    <x:row r="1999">
      <x:c r="D1999" s="46"/>
    </x:row>
    <x:row r="2000">
      <x:c r="D2000" s="46"/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8a8fb8b57d39408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4" hidden="0" customWidth="1"/>
    <x:col min="5" max="5" width="14" hidden="0" customWidth="1"/>
    <x:col min="6" max="6" width="42" hidden="0" customWidth="1"/>
    <x:col min="7" max="7" width="16" hidden="0" customWidth="1"/>
    <x:col min="8" max="8" width="16" hidden="0" customWidth="1"/>
    <x:col min="9" max="9" width="18" hidden="0" customWidth="1"/>
    <x:col min="10" max="10" width="30" hidden="0" customWidth="1"/>
  </x:cols>
  <x:sheetData>
    <x:row r="1" ht="30" customHeight="1">
      <x:c r="A1" s="5" t="str">
        <x:v>Alertas operativas</x:v>
      </x:c>
    </x:row>
    <x:row r="2" ht="22" customHeight="1">
      <x:c r="A2" s="13" t="str">
        <x:v>Eventos que requieren intervención o seguimiento.</x:v>
      </x:c>
    </x:row>
    <x:row r="4">
      <x:c r="A4" s="84" t="str">
        <x:v>ID_ALERTA</x:v>
      </x:c>
      <x:c r="B4" s="84" t="str">
        <x:v>ID_SERVICIO</x:v>
      </x:c>
      <x:c r="C4" s="84" t="str">
        <x:v>FECHA_HORA</x:v>
      </x:c>
      <x:c r="D4" s="84" t="str">
        <x:v>TIPO_ALERTA</x:v>
      </x:c>
      <x:c r="E4" s="84" t="str">
        <x:v>PRIORIDAD</x:v>
      </x:c>
      <x:c r="F4" s="84" t="str">
        <x:v>DESCRIPCION</x:v>
      </x:c>
      <x:c r="G4" s="84" t="str">
        <x:v>REQUIERE_ACCION</x:v>
      </x:c>
      <x:c r="H4" s="84" t="str">
        <x:v>ESTADO_ALERTA</x:v>
      </x:c>
      <x:c r="I4" s="84" t="str">
        <x:v>RESPONSABLE</x:v>
      </x:c>
      <x:c r="J4" s="84" t="str">
        <x:v>CIERRE</x:v>
      </x:c>
    </x:row>
    <x:row r="5">
      <x:c r="A5" t="str">
        <x:v>AL-0001</x:v>
      </x:c>
      <x:c r="B5" t="str">
        <x:v>BM-00001</x:v>
      </x:c>
      <x:c r="C5" s="58" t="n">
        <x:v>46161.77916666667</x:v>
      </x:c>
      <x:c r="D5" t="str">
        <x:v>BEBIDAS_LIQUIDO</x:v>
      </x:c>
      <x:c r="E5" t="str">
        <x:v>MEDIA</x:v>
      </x:c>
      <x:c r="F5" t="str">
        <x:v>Validar mayoría de edad si corresponde</x:v>
      </x:c>
      <x:c r="G5" t="str">
        <x:v>SI</x:v>
      </x:c>
      <x:c r="H5" t="str">
        <x:v>ABIERTA</x:v>
      </x:c>
      <x:c r="I5" t="str">
        <x:v>Operador</x:v>
      </x:c>
      <x:c r="J5" t="str"/>
    </x:row>
    <x:row r="6">
      <x:c r="A6" t="str">
        <x:v>AL-0002</x:v>
      </x:c>
      <x:c r="B6" t="str">
        <x:v>BM-00004</x:v>
      </x:c>
      <x:c r="C6" s="58" t="n">
        <x:v>46161.729166666664</x:v>
      </x:c>
      <x:c r="D6" t="str">
        <x:v>CARGA_RIESGOSA</x:v>
      </x:c>
      <x:c r="E6" t="str">
        <x:v>CRITICA</x:v>
      </x:c>
      <x:c r="F6" t="str">
        <x:v>Balón de gas lleno, no asignar sin validar</x:v>
      </x:c>
      <x:c r="G6" t="str">
        <x:v>SI</x:v>
      </x:c>
      <x:c r="H6" t="str">
        <x:v>ABIERTA</x:v>
      </x:c>
      <x:c r="I6" t="str">
        <x:v>Operador</x:v>
      </x:c>
      <x:c r="J6" t="str"/>
    </x:row>
    <x:row r="7">
      <x:c r="A7" t="str">
        <x:v>AL-0003</x:v>
      </x:c>
      <x:c r="B7" t="str">
        <x:v>BM-00002</x:v>
      </x:c>
      <x:c r="C7" s="58" t="n">
        <x:v>46161.75763888889</x:v>
      </x:c>
      <x:c r="D7" t="str">
        <x:v>TURISMO_SIN_DNI</x:v>
      </x:c>
      <x:c r="E7" t="str">
        <x:v>ALTA</x:v>
      </x:c>
      <x:c r="F7" t="str">
        <x:v>Verificar DNI completo de pasajeros</x:v>
      </x:c>
      <x:c r="G7" t="str">
        <x:v>SI</x:v>
      </x:c>
      <x:c r="H7" t="str">
        <x:v>ABIERTA</x:v>
      </x:c>
      <x:c r="I7" t="str">
        <x:v>Operador</x:v>
      </x:c>
      <x:c r="J7" t="str"/>
    </x:row>
    <x:row r="8">
      <x:c r="C8" s="58"/>
    </x:row>
    <x:row r="9">
      <x:c r="C9" s="58"/>
    </x:row>
    <x:row r="10">
      <x:c r="C10" s="58"/>
    </x:row>
    <x:row r="11">
      <x:c r="C11" s="58"/>
    </x:row>
    <x:row r="12">
      <x:c r="C12" s="58"/>
    </x:row>
    <x:row r="13">
      <x:c r="C13" s="58"/>
    </x:row>
    <x:row r="14">
      <x:c r="C14" s="58"/>
    </x:row>
    <x:row r="15">
      <x:c r="C15" s="58"/>
    </x:row>
    <x:row r="16">
      <x:c r="C16" s="58"/>
    </x:row>
    <x:row r="17">
      <x:c r="C17" s="58"/>
    </x:row>
    <x:row r="18">
      <x:c r="C18" s="58"/>
    </x:row>
    <x:row r="19">
      <x:c r="C19" s="58"/>
    </x:row>
    <x:row r="20">
      <x:c r="C20" s="58"/>
    </x:row>
    <x:row r="21">
      <x:c r="C21" s="58"/>
    </x:row>
    <x:row r="22">
      <x:c r="C22" s="58"/>
    </x:row>
    <x:row r="23">
      <x:c r="C23" s="58"/>
    </x:row>
    <x:row r="24">
      <x:c r="C24" s="58"/>
    </x:row>
    <x:row r="25">
      <x:c r="C25" s="58"/>
    </x:row>
    <x:row r="26">
      <x:c r="C26" s="58"/>
    </x:row>
    <x:row r="27">
      <x:c r="C27" s="58"/>
    </x:row>
    <x:row r="28">
      <x:c r="C28" s="58"/>
    </x:row>
    <x:row r="29">
      <x:c r="C29" s="58"/>
    </x:row>
    <x:row r="30">
      <x:c r="C30" s="58"/>
    </x:row>
    <x:row r="31">
      <x:c r="C31" s="58"/>
    </x:row>
    <x:row r="32">
      <x:c r="C32" s="58"/>
    </x:row>
    <x:row r="33">
      <x:c r="C33" s="58"/>
    </x:row>
    <x:row r="34">
      <x:c r="C34" s="58"/>
    </x:row>
    <x:row r="35">
      <x:c r="C35" s="58"/>
    </x:row>
    <x:row r="36">
      <x:c r="C36" s="58"/>
    </x:row>
    <x:row r="37">
      <x:c r="C37" s="58"/>
    </x:row>
    <x:row r="38">
      <x:c r="C38" s="58"/>
    </x:row>
    <x:row r="39">
      <x:c r="C39" s="58"/>
    </x:row>
    <x:row r="40">
      <x:c r="C40" s="58"/>
    </x:row>
    <x:row r="41">
      <x:c r="C41" s="58"/>
    </x:row>
    <x:row r="42">
      <x:c r="C42" s="58"/>
    </x:row>
    <x:row r="43">
      <x:c r="C43" s="58"/>
    </x:row>
    <x:row r="44">
      <x:c r="C44" s="58"/>
    </x:row>
    <x:row r="45">
      <x:c r="C45" s="58"/>
    </x:row>
    <x:row r="46">
      <x:c r="C46" s="58"/>
    </x:row>
    <x:row r="47">
      <x:c r="C47" s="58"/>
    </x:row>
    <x:row r="48">
      <x:c r="C48" s="58"/>
    </x:row>
    <x:row r="49">
      <x:c r="C49" s="58"/>
    </x:row>
    <x:row r="50">
      <x:c r="C50" s="58"/>
    </x:row>
    <x:row r="51">
      <x:c r="C51" s="58"/>
    </x:row>
    <x:row r="52">
      <x:c r="C52" s="58"/>
    </x:row>
    <x:row r="53">
      <x:c r="C53" s="58"/>
    </x:row>
    <x:row r="54">
      <x:c r="C54" s="58"/>
    </x:row>
    <x:row r="55">
      <x:c r="C55" s="58"/>
    </x:row>
    <x:row r="56">
      <x:c r="C56" s="58"/>
    </x:row>
    <x:row r="57">
      <x:c r="C57" s="58"/>
    </x:row>
    <x:row r="58">
      <x:c r="C58" s="58"/>
    </x:row>
    <x:row r="59">
      <x:c r="C59" s="58"/>
    </x:row>
    <x:row r="60">
      <x:c r="C60" s="58"/>
    </x:row>
    <x:row r="61">
      <x:c r="C61" s="58"/>
    </x:row>
    <x:row r="62">
      <x:c r="C62" s="58"/>
    </x:row>
    <x:row r="63">
      <x:c r="C63" s="58"/>
    </x:row>
    <x:row r="64">
      <x:c r="C64" s="58"/>
    </x:row>
    <x:row r="65">
      <x:c r="C65" s="58"/>
    </x:row>
    <x:row r="66">
      <x:c r="C66" s="58"/>
    </x:row>
    <x:row r="67">
      <x:c r="C67" s="58"/>
    </x:row>
    <x:row r="68">
      <x:c r="C68" s="58"/>
    </x:row>
    <x:row r="69">
      <x:c r="C69" s="58"/>
    </x:row>
    <x:row r="70">
      <x:c r="C70" s="58"/>
    </x:row>
    <x:row r="71">
      <x:c r="C71" s="58"/>
    </x:row>
    <x:row r="72">
      <x:c r="C72" s="58"/>
    </x:row>
    <x:row r="73">
      <x:c r="C73" s="58"/>
    </x:row>
    <x:row r="74">
      <x:c r="C74" s="58"/>
    </x:row>
    <x:row r="75">
      <x:c r="C75" s="58"/>
    </x:row>
    <x:row r="76">
      <x:c r="C76" s="58"/>
    </x:row>
    <x:row r="77">
      <x:c r="C77" s="58"/>
    </x:row>
    <x:row r="78">
      <x:c r="C78" s="58"/>
    </x:row>
    <x:row r="79">
      <x:c r="C79" s="58"/>
    </x:row>
    <x:row r="80">
      <x:c r="C80" s="58"/>
    </x:row>
    <x:row r="81">
      <x:c r="C81" s="58"/>
    </x:row>
    <x:row r="82">
      <x:c r="C82" s="58"/>
    </x:row>
    <x:row r="83">
      <x:c r="C83" s="58"/>
    </x:row>
    <x:row r="84">
      <x:c r="C84" s="58"/>
    </x:row>
    <x:row r="85">
      <x:c r="C85" s="58"/>
    </x:row>
    <x:row r="86">
      <x:c r="C86" s="58"/>
    </x:row>
    <x:row r="87">
      <x:c r="C87" s="58"/>
    </x:row>
    <x:row r="88">
      <x:c r="C88" s="58"/>
    </x:row>
    <x:row r="89">
      <x:c r="C89" s="58"/>
    </x:row>
    <x:row r="90">
      <x:c r="C90" s="58"/>
    </x:row>
    <x:row r="91">
      <x:c r="C91" s="58"/>
    </x:row>
    <x:row r="92">
      <x:c r="C92" s="58"/>
    </x:row>
    <x:row r="93">
      <x:c r="C93" s="58"/>
    </x:row>
    <x:row r="94">
      <x:c r="C94" s="58"/>
    </x:row>
    <x:row r="95">
      <x:c r="C95" s="58"/>
    </x:row>
    <x:row r="96">
      <x:c r="C96" s="58"/>
    </x:row>
    <x:row r="97">
      <x:c r="C97" s="58"/>
    </x:row>
    <x:row r="98">
      <x:c r="C98" s="58"/>
    </x:row>
    <x:row r="99">
      <x:c r="C99" s="58"/>
    </x:row>
    <x:row r="100">
      <x:c r="C100" s="58"/>
    </x:row>
    <x:row r="101">
      <x:c r="C101" s="58"/>
    </x:row>
    <x:row r="102">
      <x:c r="C102" s="58"/>
    </x:row>
    <x:row r="103">
      <x:c r="C103" s="58"/>
    </x:row>
    <x:row r="104">
      <x:c r="C104" s="58"/>
    </x:row>
    <x:row r="105">
      <x:c r="C105" s="58"/>
    </x:row>
    <x:row r="106">
      <x:c r="C106" s="58"/>
    </x:row>
    <x:row r="107">
      <x:c r="C107" s="58"/>
    </x:row>
    <x:row r="108">
      <x:c r="C108" s="58"/>
    </x:row>
    <x:row r="109">
      <x:c r="C109" s="58"/>
    </x:row>
    <x:row r="110">
      <x:c r="C110" s="58"/>
    </x:row>
    <x:row r="111">
      <x:c r="C111" s="58"/>
    </x:row>
    <x:row r="112">
      <x:c r="C112" s="58"/>
    </x:row>
    <x:row r="113">
      <x:c r="C113" s="58"/>
    </x:row>
    <x:row r="114">
      <x:c r="C114" s="58"/>
    </x:row>
    <x:row r="115">
      <x:c r="C115" s="58"/>
    </x:row>
    <x:row r="116">
      <x:c r="C116" s="58"/>
    </x:row>
    <x:row r="117">
      <x:c r="C117" s="58"/>
    </x:row>
    <x:row r="118">
      <x:c r="C118" s="58"/>
    </x:row>
    <x:row r="119">
      <x:c r="C119" s="58"/>
    </x:row>
    <x:row r="120">
      <x:c r="C120" s="58"/>
    </x:row>
    <x:row r="121">
      <x:c r="C121" s="58"/>
    </x:row>
    <x:row r="122">
      <x:c r="C122" s="58"/>
    </x:row>
    <x:row r="123">
      <x:c r="C123" s="58"/>
    </x:row>
    <x:row r="124">
      <x:c r="C124" s="58"/>
    </x:row>
    <x:row r="125">
      <x:c r="C125" s="58"/>
    </x:row>
    <x:row r="126">
      <x:c r="C126" s="58"/>
    </x:row>
    <x:row r="127">
      <x:c r="C127" s="58"/>
    </x:row>
    <x:row r="128">
      <x:c r="C128" s="58"/>
    </x:row>
    <x:row r="129">
      <x:c r="C129" s="58"/>
    </x:row>
    <x:row r="130">
      <x:c r="C130" s="58"/>
    </x:row>
    <x:row r="131">
      <x:c r="C131" s="58"/>
    </x:row>
    <x:row r="132">
      <x:c r="C132" s="58"/>
    </x:row>
    <x:row r="133">
      <x:c r="C133" s="58"/>
    </x:row>
    <x:row r="134">
      <x:c r="C134" s="58"/>
    </x:row>
    <x:row r="135">
      <x:c r="C135" s="58"/>
    </x:row>
    <x:row r="136">
      <x:c r="C136" s="58"/>
    </x:row>
    <x:row r="137">
      <x:c r="C137" s="58"/>
    </x:row>
    <x:row r="138">
      <x:c r="C138" s="58"/>
    </x:row>
    <x:row r="139">
      <x:c r="C139" s="58"/>
    </x:row>
    <x:row r="140">
      <x:c r="C140" s="58"/>
    </x:row>
    <x:row r="141">
      <x:c r="C141" s="58"/>
    </x:row>
    <x:row r="142">
      <x:c r="C142" s="58"/>
    </x:row>
    <x:row r="143">
      <x:c r="C143" s="58"/>
    </x:row>
    <x:row r="144">
      <x:c r="C144" s="58"/>
    </x:row>
    <x:row r="145">
      <x:c r="C145" s="58"/>
    </x:row>
    <x:row r="146">
      <x:c r="C146" s="58"/>
    </x:row>
    <x:row r="147">
      <x:c r="C147" s="58"/>
    </x:row>
    <x:row r="148">
      <x:c r="C148" s="58"/>
    </x:row>
    <x:row r="149">
      <x:c r="C149" s="58"/>
    </x:row>
    <x:row r="150">
      <x:c r="C150" s="58"/>
    </x:row>
    <x:row r="151">
      <x:c r="C151" s="58"/>
    </x:row>
    <x:row r="152">
      <x:c r="C152" s="58"/>
    </x:row>
    <x:row r="153">
      <x:c r="C153" s="58"/>
    </x:row>
    <x:row r="154">
      <x:c r="C154" s="58"/>
    </x:row>
    <x:row r="155">
      <x:c r="C155" s="58"/>
    </x:row>
    <x:row r="156">
      <x:c r="C156" s="58"/>
    </x:row>
    <x:row r="157">
      <x:c r="C157" s="58"/>
    </x:row>
    <x:row r="158">
      <x:c r="C158" s="58"/>
    </x:row>
    <x:row r="159">
      <x:c r="C159" s="58"/>
    </x:row>
    <x:row r="160">
      <x:c r="C160" s="58"/>
    </x:row>
    <x:row r="161">
      <x:c r="C161" s="58"/>
    </x:row>
    <x:row r="162">
      <x:c r="C162" s="58"/>
    </x:row>
    <x:row r="163">
      <x:c r="C163" s="58"/>
    </x:row>
    <x:row r="164">
      <x:c r="C164" s="58"/>
    </x:row>
    <x:row r="165">
      <x:c r="C165" s="58"/>
    </x:row>
    <x:row r="166">
      <x:c r="C166" s="58"/>
    </x:row>
    <x:row r="167">
      <x:c r="C167" s="58"/>
    </x:row>
    <x:row r="168">
      <x:c r="C168" s="58"/>
    </x:row>
    <x:row r="169">
      <x:c r="C169" s="58"/>
    </x:row>
    <x:row r="170">
      <x:c r="C170" s="58"/>
    </x:row>
    <x:row r="171">
      <x:c r="C171" s="58"/>
    </x:row>
    <x:row r="172">
      <x:c r="C172" s="58"/>
    </x:row>
    <x:row r="173">
      <x:c r="C173" s="58"/>
    </x:row>
    <x:row r="174">
      <x:c r="C174" s="58"/>
    </x:row>
    <x:row r="175">
      <x:c r="C175" s="58"/>
    </x:row>
    <x:row r="176">
      <x:c r="C176" s="58"/>
    </x:row>
    <x:row r="177">
      <x:c r="C177" s="58"/>
    </x:row>
    <x:row r="178">
      <x:c r="C178" s="58"/>
    </x:row>
    <x:row r="179">
      <x:c r="C179" s="58"/>
    </x:row>
    <x:row r="180">
      <x:c r="C180" s="58"/>
    </x:row>
    <x:row r="181">
      <x:c r="C181" s="58"/>
    </x:row>
    <x:row r="182">
      <x:c r="C182" s="58"/>
    </x:row>
    <x:row r="183">
      <x:c r="C183" s="58"/>
    </x:row>
    <x:row r="184">
      <x:c r="C184" s="58"/>
    </x:row>
    <x:row r="185">
      <x:c r="C185" s="58"/>
    </x:row>
    <x:row r="186">
      <x:c r="C186" s="58"/>
    </x:row>
    <x:row r="187">
      <x:c r="C187" s="58"/>
    </x:row>
    <x:row r="188">
      <x:c r="C188" s="58"/>
    </x:row>
    <x:row r="189">
      <x:c r="C189" s="58"/>
    </x:row>
    <x:row r="190">
      <x:c r="C190" s="58"/>
    </x:row>
    <x:row r="191">
      <x:c r="C191" s="58"/>
    </x:row>
    <x:row r="192">
      <x:c r="C192" s="58"/>
    </x:row>
    <x:row r="193">
      <x:c r="C193" s="58"/>
    </x:row>
    <x:row r="194">
      <x:c r="C194" s="58"/>
    </x:row>
    <x:row r="195">
      <x:c r="C195" s="58"/>
    </x:row>
    <x:row r="196">
      <x:c r="C196" s="58"/>
    </x:row>
    <x:row r="197">
      <x:c r="C197" s="58"/>
    </x:row>
    <x:row r="198">
      <x:c r="C198" s="58"/>
    </x:row>
    <x:row r="199">
      <x:c r="C199" s="58"/>
    </x:row>
    <x:row r="200">
      <x:c r="C200" s="58"/>
    </x:row>
    <x:row r="201">
      <x:c r="C201" s="58"/>
    </x:row>
    <x:row r="202">
      <x:c r="C202" s="58"/>
    </x:row>
    <x:row r="203">
      <x:c r="C203" s="58"/>
    </x:row>
    <x:row r="204">
      <x:c r="C204" s="58"/>
    </x:row>
    <x:row r="205">
      <x:c r="C205" s="58"/>
    </x:row>
    <x:row r="206">
      <x:c r="C206" s="58"/>
    </x:row>
    <x:row r="207">
      <x:c r="C207" s="58"/>
    </x:row>
    <x:row r="208">
      <x:c r="C208" s="58"/>
    </x:row>
    <x:row r="209">
      <x:c r="C209" s="58"/>
    </x:row>
    <x:row r="210">
      <x:c r="C210" s="58"/>
    </x:row>
    <x:row r="211">
      <x:c r="C211" s="58"/>
    </x:row>
    <x:row r="212">
      <x:c r="C212" s="58"/>
    </x:row>
    <x:row r="213">
      <x:c r="C213" s="58"/>
    </x:row>
    <x:row r="214">
      <x:c r="C214" s="58"/>
    </x:row>
    <x:row r="215">
      <x:c r="C215" s="58"/>
    </x:row>
    <x:row r="216">
      <x:c r="C216" s="58"/>
    </x:row>
    <x:row r="217">
      <x:c r="C217" s="58"/>
    </x:row>
    <x:row r="218">
      <x:c r="C218" s="58"/>
    </x:row>
    <x:row r="219">
      <x:c r="C219" s="58"/>
    </x:row>
    <x:row r="220">
      <x:c r="C220" s="58"/>
    </x:row>
    <x:row r="221">
      <x:c r="C221" s="58"/>
    </x:row>
    <x:row r="222">
      <x:c r="C222" s="58"/>
    </x:row>
    <x:row r="223">
      <x:c r="C223" s="58"/>
    </x:row>
    <x:row r="224">
      <x:c r="C224" s="58"/>
    </x:row>
    <x:row r="225">
      <x:c r="C225" s="58"/>
    </x:row>
    <x:row r="226">
      <x:c r="C226" s="58"/>
    </x:row>
    <x:row r="227">
      <x:c r="C227" s="58"/>
    </x:row>
    <x:row r="228">
      <x:c r="C228" s="58"/>
    </x:row>
    <x:row r="229">
      <x:c r="C229" s="58"/>
    </x:row>
    <x:row r="230">
      <x:c r="C230" s="58"/>
    </x:row>
    <x:row r="231">
      <x:c r="C231" s="58"/>
    </x:row>
    <x:row r="232">
      <x:c r="C232" s="58"/>
    </x:row>
    <x:row r="233">
      <x:c r="C233" s="58"/>
    </x:row>
    <x:row r="234">
      <x:c r="C234" s="58"/>
    </x:row>
    <x:row r="235">
      <x:c r="C235" s="58"/>
    </x:row>
    <x:row r="236">
      <x:c r="C236" s="58"/>
    </x:row>
    <x:row r="237">
      <x:c r="C237" s="58"/>
    </x:row>
    <x:row r="238">
      <x:c r="C238" s="58"/>
    </x:row>
    <x:row r="239">
      <x:c r="C239" s="58"/>
    </x:row>
    <x:row r="240">
      <x:c r="C240" s="58"/>
    </x:row>
    <x:row r="241">
      <x:c r="C241" s="58"/>
    </x:row>
    <x:row r="242">
      <x:c r="C242" s="58"/>
    </x:row>
    <x:row r="243">
      <x:c r="C243" s="58"/>
    </x:row>
    <x:row r="244">
      <x:c r="C244" s="58"/>
    </x:row>
    <x:row r="245">
      <x:c r="C245" s="58"/>
    </x:row>
    <x:row r="246">
      <x:c r="C246" s="58"/>
    </x:row>
    <x:row r="247">
      <x:c r="C247" s="58"/>
    </x:row>
    <x:row r="248">
      <x:c r="C248" s="58"/>
    </x:row>
    <x:row r="249">
      <x:c r="C249" s="58"/>
    </x:row>
    <x:row r="250">
      <x:c r="C250" s="58"/>
    </x:row>
    <x:row r="251">
      <x:c r="C251" s="58"/>
    </x:row>
    <x:row r="252">
      <x:c r="C252" s="58"/>
    </x:row>
    <x:row r="253">
      <x:c r="C253" s="58"/>
    </x:row>
    <x:row r="254">
      <x:c r="C254" s="58"/>
    </x:row>
    <x:row r="255">
      <x:c r="C255" s="58"/>
    </x:row>
    <x:row r="256">
      <x:c r="C256" s="58"/>
    </x:row>
    <x:row r="257">
      <x:c r="C257" s="58"/>
    </x:row>
    <x:row r="258">
      <x:c r="C258" s="58"/>
    </x:row>
    <x:row r="259">
      <x:c r="C259" s="58"/>
    </x:row>
    <x:row r="260">
      <x:c r="C260" s="58"/>
    </x:row>
    <x:row r="261">
      <x:c r="C261" s="58"/>
    </x:row>
    <x:row r="262">
      <x:c r="C262" s="58"/>
    </x:row>
    <x:row r="263">
      <x:c r="C263" s="58"/>
    </x:row>
    <x:row r="264">
      <x:c r="C264" s="58"/>
    </x:row>
    <x:row r="265">
      <x:c r="C265" s="58"/>
    </x:row>
    <x:row r="266">
      <x:c r="C266" s="58"/>
    </x:row>
    <x:row r="267">
      <x:c r="C267" s="58"/>
    </x:row>
    <x:row r="268">
      <x:c r="C268" s="58"/>
    </x:row>
    <x:row r="269">
      <x:c r="C269" s="58"/>
    </x:row>
    <x:row r="270">
      <x:c r="C270" s="58"/>
    </x:row>
    <x:row r="271">
      <x:c r="C271" s="58"/>
    </x:row>
    <x:row r="272">
      <x:c r="C272" s="58"/>
    </x:row>
    <x:row r="273">
      <x:c r="C273" s="58"/>
    </x:row>
    <x:row r="274">
      <x:c r="C274" s="58"/>
    </x:row>
    <x:row r="275">
      <x:c r="C275" s="58"/>
    </x:row>
    <x:row r="276">
      <x:c r="C276" s="58"/>
    </x:row>
    <x:row r="277">
      <x:c r="C277" s="58"/>
    </x:row>
    <x:row r="278">
      <x:c r="C278" s="58"/>
    </x:row>
    <x:row r="279">
      <x:c r="C279" s="58"/>
    </x:row>
    <x:row r="280">
      <x:c r="C280" s="58"/>
    </x:row>
    <x:row r="281">
      <x:c r="C281" s="58"/>
    </x:row>
    <x:row r="282">
      <x:c r="C282" s="58"/>
    </x:row>
    <x:row r="283">
      <x:c r="C283" s="58"/>
    </x:row>
    <x:row r="284">
      <x:c r="C284" s="58"/>
    </x:row>
    <x:row r="285">
      <x:c r="C285" s="58"/>
    </x:row>
    <x:row r="286">
      <x:c r="C286" s="58"/>
    </x:row>
    <x:row r="287">
      <x:c r="C287" s="58"/>
    </x:row>
    <x:row r="288">
      <x:c r="C288" s="58"/>
    </x:row>
    <x:row r="289">
      <x:c r="C289" s="58"/>
    </x:row>
    <x:row r="290">
      <x:c r="C290" s="58"/>
    </x:row>
    <x:row r="291">
      <x:c r="C291" s="58"/>
    </x:row>
    <x:row r="292">
      <x:c r="C292" s="58"/>
    </x:row>
    <x:row r="293">
      <x:c r="C293" s="58"/>
    </x:row>
    <x:row r="294">
      <x:c r="C294" s="58"/>
    </x:row>
    <x:row r="295">
      <x:c r="C295" s="58"/>
    </x:row>
    <x:row r="296">
      <x:c r="C296" s="58"/>
    </x:row>
    <x:row r="297">
      <x:c r="C297" s="58"/>
    </x:row>
    <x:row r="298">
      <x:c r="C298" s="58"/>
    </x:row>
    <x:row r="299">
      <x:c r="C299" s="58"/>
    </x:row>
    <x:row r="300">
      <x:c r="C300" s="58"/>
    </x:row>
    <x:row r="301">
      <x:c r="C301" s="58"/>
    </x:row>
    <x:row r="302">
      <x:c r="C302" s="58"/>
    </x:row>
    <x:row r="303">
      <x:c r="C303" s="58"/>
    </x:row>
    <x:row r="304">
      <x:c r="C304" s="58"/>
    </x:row>
    <x:row r="305">
      <x:c r="C305" s="58"/>
    </x:row>
    <x:row r="306">
      <x:c r="C306" s="58"/>
    </x:row>
    <x:row r="307">
      <x:c r="C307" s="58"/>
    </x:row>
    <x:row r="308">
      <x:c r="C308" s="58"/>
    </x:row>
    <x:row r="309">
      <x:c r="C309" s="58"/>
    </x:row>
    <x:row r="310">
      <x:c r="C310" s="58"/>
    </x:row>
    <x:row r="311">
      <x:c r="C311" s="58"/>
    </x:row>
    <x:row r="312">
      <x:c r="C312" s="58"/>
    </x:row>
    <x:row r="313">
      <x:c r="C313" s="58"/>
    </x:row>
    <x:row r="314">
      <x:c r="C314" s="58"/>
    </x:row>
    <x:row r="315">
      <x:c r="C315" s="58"/>
    </x:row>
    <x:row r="316">
      <x:c r="C316" s="58"/>
    </x:row>
    <x:row r="317">
      <x:c r="C317" s="58"/>
    </x:row>
    <x:row r="318">
      <x:c r="C318" s="58"/>
    </x:row>
    <x:row r="319">
      <x:c r="C319" s="58"/>
    </x:row>
    <x:row r="320">
      <x:c r="C320" s="58"/>
    </x:row>
    <x:row r="321">
      <x:c r="C321" s="58"/>
    </x:row>
    <x:row r="322">
      <x:c r="C322" s="58"/>
    </x:row>
    <x:row r="323">
      <x:c r="C323" s="58"/>
    </x:row>
    <x:row r="324">
      <x:c r="C324" s="58"/>
    </x:row>
    <x:row r="325">
      <x:c r="C325" s="58"/>
    </x:row>
    <x:row r="326">
      <x:c r="C326" s="58"/>
    </x:row>
    <x:row r="327">
      <x:c r="C327" s="58"/>
    </x:row>
    <x:row r="328">
      <x:c r="C328" s="58"/>
    </x:row>
    <x:row r="329">
      <x:c r="C329" s="58"/>
    </x:row>
    <x:row r="330">
      <x:c r="C330" s="58"/>
    </x:row>
    <x:row r="331">
      <x:c r="C331" s="58"/>
    </x:row>
    <x:row r="332">
      <x:c r="C332" s="58"/>
    </x:row>
    <x:row r="333">
      <x:c r="C333" s="58"/>
    </x:row>
    <x:row r="334">
      <x:c r="C334" s="58"/>
    </x:row>
    <x:row r="335">
      <x:c r="C335" s="58"/>
    </x:row>
    <x:row r="336">
      <x:c r="C336" s="58"/>
    </x:row>
    <x:row r="337">
      <x:c r="C337" s="58"/>
    </x:row>
    <x:row r="338">
      <x:c r="C338" s="58"/>
    </x:row>
    <x:row r="339">
      <x:c r="C339" s="58"/>
    </x:row>
    <x:row r="340">
      <x:c r="C340" s="58"/>
    </x:row>
    <x:row r="341">
      <x:c r="C341" s="58"/>
    </x:row>
    <x:row r="342">
      <x:c r="C342" s="58"/>
    </x:row>
    <x:row r="343">
      <x:c r="C343" s="58"/>
    </x:row>
    <x:row r="344">
      <x:c r="C344" s="58"/>
    </x:row>
    <x:row r="345">
      <x:c r="C345" s="58"/>
    </x:row>
    <x:row r="346">
      <x:c r="C346" s="58"/>
    </x:row>
    <x:row r="347">
      <x:c r="C347" s="58"/>
    </x:row>
    <x:row r="348">
      <x:c r="C348" s="58"/>
    </x:row>
    <x:row r="349">
      <x:c r="C349" s="58"/>
    </x:row>
    <x:row r="350">
      <x:c r="C350" s="58"/>
    </x:row>
    <x:row r="351">
      <x:c r="C351" s="58"/>
    </x:row>
    <x:row r="352">
      <x:c r="C352" s="58"/>
    </x:row>
    <x:row r="353">
      <x:c r="C353" s="58"/>
    </x:row>
    <x:row r="354">
      <x:c r="C354" s="58"/>
    </x:row>
    <x:row r="355">
      <x:c r="C355" s="58"/>
    </x:row>
    <x:row r="356">
      <x:c r="C356" s="58"/>
    </x:row>
    <x:row r="357">
      <x:c r="C357" s="58"/>
    </x:row>
    <x:row r="358">
      <x:c r="C358" s="58"/>
    </x:row>
    <x:row r="359">
      <x:c r="C359" s="58"/>
    </x:row>
    <x:row r="360">
      <x:c r="C360" s="58"/>
    </x:row>
    <x:row r="361">
      <x:c r="C361" s="58"/>
    </x:row>
    <x:row r="362">
      <x:c r="C362" s="58"/>
    </x:row>
    <x:row r="363">
      <x:c r="C363" s="58"/>
    </x:row>
    <x:row r="364">
      <x:c r="C364" s="58"/>
    </x:row>
    <x:row r="365">
      <x:c r="C365" s="58"/>
    </x:row>
    <x:row r="366">
      <x:c r="C366" s="58"/>
    </x:row>
    <x:row r="367">
      <x:c r="C367" s="58"/>
    </x:row>
    <x:row r="368">
      <x:c r="C368" s="58"/>
    </x:row>
    <x:row r="369">
      <x:c r="C369" s="58"/>
    </x:row>
    <x:row r="370">
      <x:c r="C370" s="58"/>
    </x:row>
    <x:row r="371">
      <x:c r="C371" s="58"/>
    </x:row>
    <x:row r="372">
      <x:c r="C372" s="58"/>
    </x:row>
    <x:row r="373">
      <x:c r="C373" s="58"/>
    </x:row>
    <x:row r="374">
      <x:c r="C374" s="58"/>
    </x:row>
    <x:row r="375">
      <x:c r="C375" s="58"/>
    </x:row>
    <x:row r="376">
      <x:c r="C376" s="58"/>
    </x:row>
    <x:row r="377">
      <x:c r="C377" s="58"/>
    </x:row>
    <x:row r="378">
      <x:c r="C378" s="58"/>
    </x:row>
    <x:row r="379">
      <x:c r="C379" s="58"/>
    </x:row>
    <x:row r="380">
      <x:c r="C380" s="58"/>
    </x:row>
    <x:row r="381">
      <x:c r="C381" s="58"/>
    </x:row>
    <x:row r="382">
      <x:c r="C382" s="58"/>
    </x:row>
    <x:row r="383">
      <x:c r="C383" s="58"/>
    </x:row>
    <x:row r="384">
      <x:c r="C384" s="58"/>
    </x:row>
    <x:row r="385">
      <x:c r="C385" s="58"/>
    </x:row>
    <x:row r="386">
      <x:c r="C386" s="58"/>
    </x:row>
    <x:row r="387">
      <x:c r="C387" s="58"/>
    </x:row>
    <x:row r="388">
      <x:c r="C388" s="58"/>
    </x:row>
    <x:row r="389">
      <x:c r="C389" s="58"/>
    </x:row>
    <x:row r="390">
      <x:c r="C390" s="58"/>
    </x:row>
    <x:row r="391">
      <x:c r="C391" s="58"/>
    </x:row>
    <x:row r="392">
      <x:c r="C392" s="58"/>
    </x:row>
    <x:row r="393">
      <x:c r="C393" s="58"/>
    </x:row>
    <x:row r="394">
      <x:c r="C394" s="58"/>
    </x:row>
    <x:row r="395">
      <x:c r="C395" s="58"/>
    </x:row>
    <x:row r="396">
      <x:c r="C396" s="58"/>
    </x:row>
    <x:row r="397">
      <x:c r="C397" s="58"/>
    </x:row>
    <x:row r="398">
      <x:c r="C398" s="58"/>
    </x:row>
    <x:row r="399">
      <x:c r="C399" s="58"/>
    </x:row>
    <x:row r="400">
      <x:c r="C400" s="58"/>
    </x:row>
    <x:row r="401">
      <x:c r="C401" s="58"/>
    </x:row>
    <x:row r="402">
      <x:c r="C402" s="58"/>
    </x:row>
    <x:row r="403">
      <x:c r="C403" s="58"/>
    </x:row>
    <x:row r="404">
      <x:c r="C404" s="58"/>
    </x:row>
    <x:row r="405">
      <x:c r="C405" s="58"/>
    </x:row>
    <x:row r="406">
      <x:c r="C406" s="58"/>
    </x:row>
    <x:row r="407">
      <x:c r="C407" s="58"/>
    </x:row>
    <x:row r="408">
      <x:c r="C408" s="58"/>
    </x:row>
    <x:row r="409">
      <x:c r="C409" s="58"/>
    </x:row>
    <x:row r="410">
      <x:c r="C410" s="58"/>
    </x:row>
    <x:row r="411">
      <x:c r="C411" s="58"/>
    </x:row>
    <x:row r="412">
      <x:c r="C412" s="58"/>
    </x:row>
    <x:row r="413">
      <x:c r="C413" s="58"/>
    </x:row>
    <x:row r="414">
      <x:c r="C414" s="58"/>
    </x:row>
    <x:row r="415">
      <x:c r="C415" s="58"/>
    </x:row>
    <x:row r="416">
      <x:c r="C416" s="58"/>
    </x:row>
    <x:row r="417">
      <x:c r="C417" s="58"/>
    </x:row>
    <x:row r="418">
      <x:c r="C418" s="58"/>
    </x:row>
    <x:row r="419">
      <x:c r="C419" s="58"/>
    </x:row>
    <x:row r="420">
      <x:c r="C420" s="58"/>
    </x:row>
    <x:row r="421">
      <x:c r="C421" s="58"/>
    </x:row>
    <x:row r="422">
      <x:c r="C422" s="58"/>
    </x:row>
    <x:row r="423">
      <x:c r="C423" s="58"/>
    </x:row>
    <x:row r="424">
      <x:c r="C424" s="58"/>
    </x:row>
    <x:row r="425">
      <x:c r="C425" s="58"/>
    </x:row>
    <x:row r="426">
      <x:c r="C426" s="58"/>
    </x:row>
    <x:row r="427">
      <x:c r="C427" s="58"/>
    </x:row>
    <x:row r="428">
      <x:c r="C428" s="58"/>
    </x:row>
    <x:row r="429">
      <x:c r="C429" s="58"/>
    </x:row>
    <x:row r="430">
      <x:c r="C430" s="58"/>
    </x:row>
    <x:row r="431">
      <x:c r="C431" s="58"/>
    </x:row>
    <x:row r="432">
      <x:c r="C432" s="58"/>
    </x:row>
    <x:row r="433">
      <x:c r="C433" s="58"/>
    </x:row>
    <x:row r="434">
      <x:c r="C434" s="58"/>
    </x:row>
    <x:row r="435">
      <x:c r="C435" s="58"/>
    </x:row>
    <x:row r="436">
      <x:c r="C436" s="58"/>
    </x:row>
    <x:row r="437">
      <x:c r="C437" s="58"/>
    </x:row>
    <x:row r="438">
      <x:c r="C438" s="58"/>
    </x:row>
    <x:row r="439">
      <x:c r="C439" s="58"/>
    </x:row>
    <x:row r="440">
      <x:c r="C440" s="58"/>
    </x:row>
    <x:row r="441">
      <x:c r="C441" s="58"/>
    </x:row>
    <x:row r="442">
      <x:c r="C442" s="58"/>
    </x:row>
    <x:row r="443">
      <x:c r="C443" s="58"/>
    </x:row>
    <x:row r="444">
      <x:c r="C444" s="58"/>
    </x:row>
    <x:row r="445">
      <x:c r="C445" s="58"/>
    </x:row>
    <x:row r="446">
      <x:c r="C446" s="58"/>
    </x:row>
    <x:row r="447">
      <x:c r="C447" s="58"/>
    </x:row>
    <x:row r="448">
      <x:c r="C448" s="58"/>
    </x:row>
    <x:row r="449">
      <x:c r="C449" s="58"/>
    </x:row>
    <x:row r="450">
      <x:c r="C450" s="58"/>
    </x:row>
    <x:row r="451">
      <x:c r="C451" s="58"/>
    </x:row>
    <x:row r="452">
      <x:c r="C452" s="58"/>
    </x:row>
    <x:row r="453">
      <x:c r="C453" s="58"/>
    </x:row>
    <x:row r="454">
      <x:c r="C454" s="58"/>
    </x:row>
    <x:row r="455">
      <x:c r="C455" s="58"/>
    </x:row>
    <x:row r="456">
      <x:c r="C456" s="58"/>
    </x:row>
    <x:row r="457">
      <x:c r="C457" s="58"/>
    </x:row>
    <x:row r="458">
      <x:c r="C458" s="58"/>
    </x:row>
    <x:row r="459">
      <x:c r="C459" s="58"/>
    </x:row>
    <x:row r="460">
      <x:c r="C460" s="58"/>
    </x:row>
    <x:row r="461">
      <x:c r="C461" s="58"/>
    </x:row>
    <x:row r="462">
      <x:c r="C462" s="58"/>
    </x:row>
    <x:row r="463">
      <x:c r="C463" s="58"/>
    </x:row>
    <x:row r="464">
      <x:c r="C464" s="58"/>
    </x:row>
    <x:row r="465">
      <x:c r="C465" s="58"/>
    </x:row>
    <x:row r="466">
      <x:c r="C466" s="58"/>
    </x:row>
    <x:row r="467">
      <x:c r="C467" s="58"/>
    </x:row>
    <x:row r="468">
      <x:c r="C468" s="58"/>
    </x:row>
    <x:row r="469">
      <x:c r="C469" s="58"/>
    </x:row>
    <x:row r="470">
      <x:c r="C470" s="58"/>
    </x:row>
    <x:row r="471">
      <x:c r="C471" s="58"/>
    </x:row>
    <x:row r="472">
      <x:c r="C472" s="58"/>
    </x:row>
    <x:row r="473">
      <x:c r="C473" s="58"/>
    </x:row>
    <x:row r="474">
      <x:c r="C474" s="58"/>
    </x:row>
    <x:row r="475">
      <x:c r="C475" s="58"/>
    </x:row>
    <x:row r="476">
      <x:c r="C476" s="58"/>
    </x:row>
    <x:row r="477">
      <x:c r="C477" s="58"/>
    </x:row>
    <x:row r="478">
      <x:c r="C478" s="58"/>
    </x:row>
    <x:row r="479">
      <x:c r="C479" s="58"/>
    </x:row>
    <x:row r="480">
      <x:c r="C480" s="58"/>
    </x:row>
    <x:row r="481">
      <x:c r="C481" s="58"/>
    </x:row>
    <x:row r="482">
      <x:c r="C482" s="58"/>
    </x:row>
    <x:row r="483">
      <x:c r="C483" s="58"/>
    </x:row>
    <x:row r="484">
      <x:c r="C484" s="58"/>
    </x:row>
    <x:row r="485">
      <x:c r="C485" s="58"/>
    </x:row>
    <x:row r="486">
      <x:c r="C486" s="58"/>
    </x:row>
    <x:row r="487">
      <x:c r="C487" s="58"/>
    </x:row>
    <x:row r="488">
      <x:c r="C488" s="58"/>
    </x:row>
    <x:row r="489">
      <x:c r="C489" s="58"/>
    </x:row>
    <x:row r="490">
      <x:c r="C490" s="58"/>
    </x:row>
    <x:row r="491">
      <x:c r="C491" s="58"/>
    </x:row>
    <x:row r="492">
      <x:c r="C492" s="58"/>
    </x:row>
    <x:row r="493">
      <x:c r="C493" s="58"/>
    </x:row>
    <x:row r="494">
      <x:c r="C494" s="58"/>
    </x:row>
    <x:row r="495">
      <x:c r="C495" s="58"/>
    </x:row>
    <x:row r="496">
      <x:c r="C496" s="58"/>
    </x:row>
    <x:row r="497">
      <x:c r="C497" s="58"/>
    </x:row>
    <x:row r="498">
      <x:c r="C498" s="58"/>
    </x:row>
    <x:row r="499">
      <x:c r="C499" s="58"/>
    </x:row>
    <x:row r="500">
      <x:c r="C500" s="58"/>
    </x:row>
    <x:row r="501">
      <x:c r="C501" s="58"/>
    </x:row>
    <x:row r="502">
      <x:c r="C502" s="58"/>
    </x:row>
    <x:row r="503">
      <x:c r="C503" s="58"/>
    </x:row>
    <x:row r="504">
      <x:c r="C504" s="58"/>
    </x:row>
    <x:row r="505">
      <x:c r="C505" s="58"/>
    </x:row>
    <x:row r="506">
      <x:c r="C506" s="58"/>
    </x:row>
    <x:row r="507">
      <x:c r="C507" s="58"/>
    </x:row>
    <x:row r="508">
      <x:c r="C508" s="58"/>
    </x:row>
    <x:row r="509">
      <x:c r="C509" s="58"/>
    </x:row>
    <x:row r="510">
      <x:c r="C510" s="58"/>
    </x:row>
    <x:row r="511">
      <x:c r="C511" s="58"/>
    </x:row>
    <x:row r="512">
      <x:c r="C512" s="58"/>
    </x:row>
    <x:row r="513">
      <x:c r="C513" s="58"/>
    </x:row>
    <x:row r="514">
      <x:c r="C514" s="58"/>
    </x:row>
    <x:row r="515">
      <x:c r="C515" s="58"/>
    </x:row>
    <x:row r="516">
      <x:c r="C516" s="58"/>
    </x:row>
    <x:row r="517">
      <x:c r="C517" s="58"/>
    </x:row>
    <x:row r="518">
      <x:c r="C518" s="58"/>
    </x:row>
    <x:row r="519">
      <x:c r="C519" s="58"/>
    </x:row>
    <x:row r="520">
      <x:c r="C520" s="58"/>
    </x:row>
    <x:row r="521">
      <x:c r="C521" s="58"/>
    </x:row>
    <x:row r="522">
      <x:c r="C522" s="58"/>
    </x:row>
    <x:row r="523">
      <x:c r="C523" s="58"/>
    </x:row>
    <x:row r="524">
      <x:c r="C524" s="58"/>
    </x:row>
    <x:row r="525">
      <x:c r="C525" s="58"/>
    </x:row>
    <x:row r="526">
      <x:c r="C526" s="58"/>
    </x:row>
    <x:row r="527">
      <x:c r="C527" s="58"/>
    </x:row>
    <x:row r="528">
      <x:c r="C528" s="58"/>
    </x:row>
    <x:row r="529">
      <x:c r="C529" s="58"/>
    </x:row>
    <x:row r="530">
      <x:c r="C530" s="58"/>
    </x:row>
    <x:row r="531">
      <x:c r="C531" s="58"/>
    </x:row>
    <x:row r="532">
      <x:c r="C532" s="58"/>
    </x:row>
    <x:row r="533">
      <x:c r="C533" s="58"/>
    </x:row>
    <x:row r="534">
      <x:c r="C534" s="58"/>
    </x:row>
    <x:row r="535">
      <x:c r="C535" s="58"/>
    </x:row>
    <x:row r="536">
      <x:c r="C536" s="58"/>
    </x:row>
    <x:row r="537">
      <x:c r="C537" s="58"/>
    </x:row>
    <x:row r="538">
      <x:c r="C538" s="58"/>
    </x:row>
    <x:row r="539">
      <x:c r="C539" s="58"/>
    </x:row>
    <x:row r="540">
      <x:c r="C540" s="58"/>
    </x:row>
    <x:row r="541">
      <x:c r="C541" s="58"/>
    </x:row>
    <x:row r="542">
      <x:c r="C542" s="58"/>
    </x:row>
    <x:row r="543">
      <x:c r="C543" s="58"/>
    </x:row>
    <x:row r="544">
      <x:c r="C544" s="58"/>
    </x:row>
    <x:row r="545">
      <x:c r="C545" s="58"/>
    </x:row>
    <x:row r="546">
      <x:c r="C546" s="58"/>
    </x:row>
    <x:row r="547">
      <x:c r="C547" s="58"/>
    </x:row>
    <x:row r="548">
      <x:c r="C548" s="58"/>
    </x:row>
    <x:row r="549">
      <x:c r="C549" s="58"/>
    </x:row>
    <x:row r="550">
      <x:c r="C550" s="58"/>
    </x:row>
    <x:row r="551">
      <x:c r="C551" s="58"/>
    </x:row>
    <x:row r="552">
      <x:c r="C552" s="58"/>
    </x:row>
    <x:row r="553">
      <x:c r="C553" s="58"/>
    </x:row>
    <x:row r="554">
      <x:c r="C554" s="58"/>
    </x:row>
    <x:row r="555">
      <x:c r="C555" s="58"/>
    </x:row>
    <x:row r="556">
      <x:c r="C556" s="58"/>
    </x:row>
    <x:row r="557">
      <x:c r="C557" s="58"/>
    </x:row>
    <x:row r="558">
      <x:c r="C558" s="58"/>
    </x:row>
    <x:row r="559">
      <x:c r="C559" s="58"/>
    </x:row>
    <x:row r="560">
      <x:c r="C560" s="58"/>
    </x:row>
    <x:row r="561">
      <x:c r="C561" s="58"/>
    </x:row>
    <x:row r="562">
      <x:c r="C562" s="58"/>
    </x:row>
    <x:row r="563">
      <x:c r="C563" s="58"/>
    </x:row>
    <x:row r="564">
      <x:c r="C564" s="58"/>
    </x:row>
    <x:row r="565">
      <x:c r="C565" s="58"/>
    </x:row>
    <x:row r="566">
      <x:c r="C566" s="58"/>
    </x:row>
    <x:row r="567">
      <x:c r="C567" s="58"/>
    </x:row>
    <x:row r="568">
      <x:c r="C568" s="58"/>
    </x:row>
    <x:row r="569">
      <x:c r="C569" s="58"/>
    </x:row>
    <x:row r="570">
      <x:c r="C570" s="58"/>
    </x:row>
    <x:row r="571">
      <x:c r="C571" s="58"/>
    </x:row>
    <x:row r="572">
      <x:c r="C572" s="58"/>
    </x:row>
    <x:row r="573">
      <x:c r="C573" s="58"/>
    </x:row>
    <x:row r="574">
      <x:c r="C574" s="58"/>
    </x:row>
    <x:row r="575">
      <x:c r="C575" s="58"/>
    </x:row>
    <x:row r="576">
      <x:c r="C576" s="58"/>
    </x:row>
    <x:row r="577">
      <x:c r="C577" s="58"/>
    </x:row>
    <x:row r="578">
      <x:c r="C578" s="58"/>
    </x:row>
    <x:row r="579">
      <x:c r="C579" s="58"/>
    </x:row>
    <x:row r="580">
      <x:c r="C580" s="58"/>
    </x:row>
    <x:row r="581">
      <x:c r="C581" s="58"/>
    </x:row>
    <x:row r="582">
      <x:c r="C582" s="58"/>
    </x:row>
    <x:row r="583">
      <x:c r="C583" s="58"/>
    </x:row>
    <x:row r="584">
      <x:c r="C584" s="58"/>
    </x:row>
    <x:row r="585">
      <x:c r="C585" s="58"/>
    </x:row>
    <x:row r="586">
      <x:c r="C586" s="58"/>
    </x:row>
    <x:row r="587">
      <x:c r="C587" s="58"/>
    </x:row>
    <x:row r="588">
      <x:c r="C588" s="58"/>
    </x:row>
    <x:row r="589">
      <x:c r="C589" s="58"/>
    </x:row>
    <x:row r="590">
      <x:c r="C590" s="58"/>
    </x:row>
    <x:row r="591">
      <x:c r="C591" s="58"/>
    </x:row>
    <x:row r="592">
      <x:c r="C592" s="58"/>
    </x:row>
    <x:row r="593">
      <x:c r="C593" s="58"/>
    </x:row>
    <x:row r="594">
      <x:c r="C594" s="58"/>
    </x:row>
    <x:row r="595">
      <x:c r="C595" s="58"/>
    </x:row>
    <x:row r="596">
      <x:c r="C596" s="58"/>
    </x:row>
    <x:row r="597">
      <x:c r="C597" s="58"/>
    </x:row>
    <x:row r="598">
      <x:c r="C598" s="58"/>
    </x:row>
    <x:row r="599">
      <x:c r="C599" s="58"/>
    </x:row>
    <x:row r="600">
      <x:c r="C600" s="58"/>
    </x:row>
    <x:row r="601">
      <x:c r="C601" s="58"/>
    </x:row>
    <x:row r="602">
      <x:c r="C602" s="58"/>
    </x:row>
    <x:row r="603">
      <x:c r="C603" s="58"/>
    </x:row>
    <x:row r="604">
      <x:c r="C604" s="58"/>
    </x:row>
    <x:row r="605">
      <x:c r="C605" s="58"/>
    </x:row>
    <x:row r="606">
      <x:c r="C606" s="58"/>
    </x:row>
    <x:row r="607">
      <x:c r="C607" s="58"/>
    </x:row>
    <x:row r="608">
      <x:c r="C608" s="58"/>
    </x:row>
    <x:row r="609">
      <x:c r="C609" s="58"/>
    </x:row>
    <x:row r="610">
      <x:c r="C610" s="58"/>
    </x:row>
    <x:row r="611">
      <x:c r="C611" s="58"/>
    </x:row>
    <x:row r="612">
      <x:c r="C612" s="58"/>
    </x:row>
    <x:row r="613">
      <x:c r="C613" s="58"/>
    </x:row>
    <x:row r="614">
      <x:c r="C614" s="58"/>
    </x:row>
    <x:row r="615">
      <x:c r="C615" s="58"/>
    </x:row>
    <x:row r="616">
      <x:c r="C616" s="58"/>
    </x:row>
    <x:row r="617">
      <x:c r="C617" s="58"/>
    </x:row>
    <x:row r="618">
      <x:c r="C618" s="58"/>
    </x:row>
    <x:row r="619">
      <x:c r="C619" s="58"/>
    </x:row>
    <x:row r="620">
      <x:c r="C620" s="58"/>
    </x:row>
    <x:row r="621">
      <x:c r="C621" s="58"/>
    </x:row>
    <x:row r="622">
      <x:c r="C622" s="58"/>
    </x:row>
    <x:row r="623">
      <x:c r="C623" s="58"/>
    </x:row>
    <x:row r="624">
      <x:c r="C624" s="58"/>
    </x:row>
    <x:row r="625">
      <x:c r="C625" s="58"/>
    </x:row>
    <x:row r="626">
      <x:c r="C626" s="58"/>
    </x:row>
    <x:row r="627">
      <x:c r="C627" s="58"/>
    </x:row>
    <x:row r="628">
      <x:c r="C628" s="58"/>
    </x:row>
    <x:row r="629">
      <x:c r="C629" s="58"/>
    </x:row>
    <x:row r="630">
      <x:c r="C630" s="58"/>
    </x:row>
    <x:row r="631">
      <x:c r="C631" s="58"/>
    </x:row>
    <x:row r="632">
      <x:c r="C632" s="58"/>
    </x:row>
    <x:row r="633">
      <x:c r="C633" s="58"/>
    </x:row>
    <x:row r="634">
      <x:c r="C634" s="58"/>
    </x:row>
    <x:row r="635">
      <x:c r="C635" s="58"/>
    </x:row>
    <x:row r="636">
      <x:c r="C636" s="58"/>
    </x:row>
    <x:row r="637">
      <x:c r="C637" s="58"/>
    </x:row>
    <x:row r="638">
      <x:c r="C638" s="58"/>
    </x:row>
    <x:row r="639">
      <x:c r="C639" s="58"/>
    </x:row>
    <x:row r="640">
      <x:c r="C640" s="58"/>
    </x:row>
    <x:row r="641">
      <x:c r="C641" s="58"/>
    </x:row>
    <x:row r="642">
      <x:c r="C642" s="58"/>
    </x:row>
    <x:row r="643">
      <x:c r="C643" s="58"/>
    </x:row>
    <x:row r="644">
      <x:c r="C644" s="58"/>
    </x:row>
    <x:row r="645">
      <x:c r="C645" s="58"/>
    </x:row>
    <x:row r="646">
      <x:c r="C646" s="58"/>
    </x:row>
    <x:row r="647">
      <x:c r="C647" s="58"/>
    </x:row>
    <x:row r="648">
      <x:c r="C648" s="58"/>
    </x:row>
    <x:row r="649">
      <x:c r="C649" s="58"/>
    </x:row>
    <x:row r="650">
      <x:c r="C650" s="58"/>
    </x:row>
    <x:row r="651">
      <x:c r="C651" s="58"/>
    </x:row>
    <x:row r="652">
      <x:c r="C652" s="58"/>
    </x:row>
    <x:row r="653">
      <x:c r="C653" s="58"/>
    </x:row>
    <x:row r="654">
      <x:c r="C654" s="58"/>
    </x:row>
    <x:row r="655">
      <x:c r="C655" s="58"/>
    </x:row>
    <x:row r="656">
      <x:c r="C656" s="58"/>
    </x:row>
    <x:row r="657">
      <x:c r="C657" s="58"/>
    </x:row>
    <x:row r="658">
      <x:c r="C658" s="58"/>
    </x:row>
    <x:row r="659">
      <x:c r="C659" s="58"/>
    </x:row>
    <x:row r="660">
      <x:c r="C660" s="58"/>
    </x:row>
    <x:row r="661">
      <x:c r="C661" s="58"/>
    </x:row>
    <x:row r="662">
      <x:c r="C662" s="58"/>
    </x:row>
    <x:row r="663">
      <x:c r="C663" s="58"/>
    </x:row>
    <x:row r="664">
      <x:c r="C664" s="58"/>
    </x:row>
    <x:row r="665">
      <x:c r="C665" s="58"/>
    </x:row>
    <x:row r="666">
      <x:c r="C666" s="58"/>
    </x:row>
    <x:row r="667">
      <x:c r="C667" s="58"/>
    </x:row>
    <x:row r="668">
      <x:c r="C668" s="58"/>
    </x:row>
    <x:row r="669">
      <x:c r="C669" s="58"/>
    </x:row>
    <x:row r="670">
      <x:c r="C670" s="58"/>
    </x:row>
    <x:row r="671">
      <x:c r="C671" s="58"/>
    </x:row>
    <x:row r="672">
      <x:c r="C672" s="58"/>
    </x:row>
    <x:row r="673">
      <x:c r="C673" s="58"/>
    </x:row>
    <x:row r="674">
      <x:c r="C674" s="58"/>
    </x:row>
    <x:row r="675">
      <x:c r="C675" s="58"/>
    </x:row>
    <x:row r="676">
      <x:c r="C676" s="58"/>
    </x:row>
    <x:row r="677">
      <x:c r="C677" s="58"/>
    </x:row>
    <x:row r="678">
      <x:c r="C678" s="58"/>
    </x:row>
    <x:row r="679">
      <x:c r="C679" s="58"/>
    </x:row>
    <x:row r="680">
      <x:c r="C680" s="58"/>
    </x:row>
    <x:row r="681">
      <x:c r="C681" s="58"/>
    </x:row>
    <x:row r="682">
      <x:c r="C682" s="58"/>
    </x:row>
    <x:row r="683">
      <x:c r="C683" s="58"/>
    </x:row>
    <x:row r="684">
      <x:c r="C684" s="58"/>
    </x:row>
    <x:row r="685">
      <x:c r="C685" s="58"/>
    </x:row>
    <x:row r="686">
      <x:c r="C686" s="58"/>
    </x:row>
    <x:row r="687">
      <x:c r="C687" s="58"/>
    </x:row>
    <x:row r="688">
      <x:c r="C688" s="58"/>
    </x:row>
    <x:row r="689">
      <x:c r="C689" s="58"/>
    </x:row>
    <x:row r="690">
      <x:c r="C690" s="58"/>
    </x:row>
    <x:row r="691">
      <x:c r="C691" s="58"/>
    </x:row>
    <x:row r="692">
      <x:c r="C692" s="58"/>
    </x:row>
    <x:row r="693">
      <x:c r="C693" s="58"/>
    </x:row>
    <x:row r="694">
      <x:c r="C694" s="58"/>
    </x:row>
    <x:row r="695">
      <x:c r="C695" s="58"/>
    </x:row>
    <x:row r="696">
      <x:c r="C696" s="58"/>
    </x:row>
    <x:row r="697">
      <x:c r="C697" s="58"/>
    </x:row>
    <x:row r="698">
      <x:c r="C698" s="58"/>
    </x:row>
    <x:row r="699">
      <x:c r="C699" s="58"/>
    </x:row>
    <x:row r="700">
      <x:c r="C700" s="58"/>
    </x:row>
    <x:row r="701">
      <x:c r="C701" s="58"/>
    </x:row>
    <x:row r="702">
      <x:c r="C702" s="58"/>
    </x:row>
    <x:row r="703">
      <x:c r="C703" s="58"/>
    </x:row>
    <x:row r="704">
      <x:c r="C704" s="58"/>
    </x:row>
    <x:row r="705">
      <x:c r="C705" s="58"/>
    </x:row>
    <x:row r="706">
      <x:c r="C706" s="58"/>
    </x:row>
    <x:row r="707">
      <x:c r="C707" s="58"/>
    </x:row>
    <x:row r="708">
      <x:c r="C708" s="58"/>
    </x:row>
    <x:row r="709">
      <x:c r="C709" s="58"/>
    </x:row>
    <x:row r="710">
      <x:c r="C710" s="58"/>
    </x:row>
    <x:row r="711">
      <x:c r="C711" s="58"/>
    </x:row>
    <x:row r="712">
      <x:c r="C712" s="58"/>
    </x:row>
    <x:row r="713">
      <x:c r="C713" s="58"/>
    </x:row>
    <x:row r="714">
      <x:c r="C714" s="58"/>
    </x:row>
    <x:row r="715">
      <x:c r="C715" s="58"/>
    </x:row>
    <x:row r="716">
      <x:c r="C716" s="58"/>
    </x:row>
    <x:row r="717">
      <x:c r="C717" s="58"/>
    </x:row>
    <x:row r="718">
      <x:c r="C718" s="58"/>
    </x:row>
    <x:row r="719">
      <x:c r="C719" s="58"/>
    </x:row>
    <x:row r="720">
      <x:c r="C720" s="58"/>
    </x:row>
    <x:row r="721">
      <x:c r="C721" s="58"/>
    </x:row>
    <x:row r="722">
      <x:c r="C722" s="58"/>
    </x:row>
    <x:row r="723">
      <x:c r="C723" s="58"/>
    </x:row>
    <x:row r="724">
      <x:c r="C724" s="58"/>
    </x:row>
    <x:row r="725">
      <x:c r="C725" s="58"/>
    </x:row>
    <x:row r="726">
      <x:c r="C726" s="58"/>
    </x:row>
    <x:row r="727">
      <x:c r="C727" s="58"/>
    </x:row>
    <x:row r="728">
      <x:c r="C728" s="58"/>
    </x:row>
    <x:row r="729">
      <x:c r="C729" s="58"/>
    </x:row>
    <x:row r="730">
      <x:c r="C730" s="58"/>
    </x:row>
    <x:row r="731">
      <x:c r="C731" s="58"/>
    </x:row>
    <x:row r="732">
      <x:c r="C732" s="58"/>
    </x:row>
    <x:row r="733">
      <x:c r="C733" s="58"/>
    </x:row>
    <x:row r="734">
      <x:c r="C734" s="58"/>
    </x:row>
    <x:row r="735">
      <x:c r="C735" s="58"/>
    </x:row>
    <x:row r="736">
      <x:c r="C736" s="58"/>
    </x:row>
    <x:row r="737">
      <x:c r="C737" s="58"/>
    </x:row>
    <x:row r="738">
      <x:c r="C738" s="58"/>
    </x:row>
    <x:row r="739">
      <x:c r="C739" s="58"/>
    </x:row>
    <x:row r="740">
      <x:c r="C740" s="58"/>
    </x:row>
    <x:row r="741">
      <x:c r="C741" s="58"/>
    </x:row>
    <x:row r="742">
      <x:c r="C742" s="58"/>
    </x:row>
    <x:row r="743">
      <x:c r="C743" s="58"/>
    </x:row>
    <x:row r="744">
      <x:c r="C744" s="58"/>
    </x:row>
    <x:row r="745">
      <x:c r="C745" s="58"/>
    </x:row>
    <x:row r="746">
      <x:c r="C746" s="58"/>
    </x:row>
    <x:row r="747">
      <x:c r="C747" s="58"/>
    </x:row>
    <x:row r="748">
      <x:c r="C748" s="58"/>
    </x:row>
    <x:row r="749">
      <x:c r="C749" s="58"/>
    </x:row>
    <x:row r="750">
      <x:c r="C750" s="58"/>
    </x:row>
    <x:row r="751">
      <x:c r="C751" s="58"/>
    </x:row>
    <x:row r="752">
      <x:c r="C752" s="58"/>
    </x:row>
    <x:row r="753">
      <x:c r="C753" s="58"/>
    </x:row>
    <x:row r="754">
      <x:c r="C754" s="58"/>
    </x:row>
    <x:row r="755">
      <x:c r="C755" s="58"/>
    </x:row>
    <x:row r="756">
      <x:c r="C756" s="58"/>
    </x:row>
    <x:row r="757">
      <x:c r="C757" s="58"/>
    </x:row>
    <x:row r="758">
      <x:c r="C758" s="58"/>
    </x:row>
    <x:row r="759">
      <x:c r="C759" s="58"/>
    </x:row>
    <x:row r="760">
      <x:c r="C760" s="58"/>
    </x:row>
    <x:row r="761">
      <x:c r="C761" s="58"/>
    </x:row>
    <x:row r="762">
      <x:c r="C762" s="58"/>
    </x:row>
    <x:row r="763">
      <x:c r="C763" s="58"/>
    </x:row>
    <x:row r="764">
      <x:c r="C764" s="58"/>
    </x:row>
    <x:row r="765">
      <x:c r="C765" s="58"/>
    </x:row>
    <x:row r="766">
      <x:c r="C766" s="58"/>
    </x:row>
    <x:row r="767">
      <x:c r="C767" s="58"/>
    </x:row>
    <x:row r="768">
      <x:c r="C768" s="58"/>
    </x:row>
    <x:row r="769">
      <x:c r="C769" s="58"/>
    </x:row>
    <x:row r="770">
      <x:c r="C770" s="58"/>
    </x:row>
    <x:row r="771">
      <x:c r="C771" s="58"/>
    </x:row>
    <x:row r="772">
      <x:c r="C772" s="58"/>
    </x:row>
    <x:row r="773">
      <x:c r="C773" s="58"/>
    </x:row>
    <x:row r="774">
      <x:c r="C774" s="58"/>
    </x:row>
    <x:row r="775">
      <x:c r="C775" s="58"/>
    </x:row>
    <x:row r="776">
      <x:c r="C776" s="58"/>
    </x:row>
    <x:row r="777">
      <x:c r="C777" s="58"/>
    </x:row>
    <x:row r="778">
      <x:c r="C778" s="58"/>
    </x:row>
    <x:row r="779">
      <x:c r="C779" s="58"/>
    </x:row>
    <x:row r="780">
      <x:c r="C780" s="58"/>
    </x:row>
    <x:row r="781">
      <x:c r="C781" s="58"/>
    </x:row>
    <x:row r="782">
      <x:c r="C782" s="58"/>
    </x:row>
    <x:row r="783">
      <x:c r="C783" s="58"/>
    </x:row>
    <x:row r="784">
      <x:c r="C784" s="58"/>
    </x:row>
    <x:row r="785">
      <x:c r="C785" s="58"/>
    </x:row>
    <x:row r="786">
      <x:c r="C786" s="58"/>
    </x:row>
    <x:row r="787">
      <x:c r="C787" s="58"/>
    </x:row>
    <x:row r="788">
      <x:c r="C788" s="58"/>
    </x:row>
    <x:row r="789">
      <x:c r="C789" s="58"/>
    </x:row>
    <x:row r="790">
      <x:c r="C790" s="58"/>
    </x:row>
    <x:row r="791">
      <x:c r="C791" s="58"/>
    </x:row>
    <x:row r="792">
      <x:c r="C792" s="58"/>
    </x:row>
    <x:row r="793">
      <x:c r="C793" s="58"/>
    </x:row>
    <x:row r="794">
      <x:c r="C794" s="58"/>
    </x:row>
    <x:row r="795">
      <x:c r="C795" s="58"/>
    </x:row>
    <x:row r="796">
      <x:c r="C796" s="58"/>
    </x:row>
    <x:row r="797">
      <x:c r="C797" s="58"/>
    </x:row>
    <x:row r="798">
      <x:c r="C798" s="58"/>
    </x:row>
    <x:row r="799">
      <x:c r="C799" s="58"/>
    </x:row>
    <x:row r="800">
      <x:c r="C800" s="58"/>
    </x:row>
    <x:row r="801">
      <x:c r="C801" s="58"/>
    </x:row>
    <x:row r="802">
      <x:c r="C802" s="58"/>
    </x:row>
    <x:row r="803">
      <x:c r="C803" s="58"/>
    </x:row>
    <x:row r="804">
      <x:c r="C804" s="58"/>
    </x:row>
    <x:row r="805">
      <x:c r="C805" s="58"/>
    </x:row>
    <x:row r="806">
      <x:c r="C806" s="58"/>
    </x:row>
    <x:row r="807">
      <x:c r="C807" s="58"/>
    </x:row>
    <x:row r="808">
      <x:c r="C808" s="58"/>
    </x:row>
    <x:row r="809">
      <x:c r="C809" s="58"/>
    </x:row>
    <x:row r="810">
      <x:c r="C810" s="58"/>
    </x:row>
    <x:row r="811">
      <x:c r="C811" s="58"/>
    </x:row>
    <x:row r="812">
      <x:c r="C812" s="58"/>
    </x:row>
    <x:row r="813">
      <x:c r="C813" s="58"/>
    </x:row>
    <x:row r="814">
      <x:c r="C814" s="58"/>
    </x:row>
    <x:row r="815">
      <x:c r="C815" s="58"/>
    </x:row>
    <x:row r="816">
      <x:c r="C816" s="58"/>
    </x:row>
    <x:row r="817">
      <x:c r="C817" s="58"/>
    </x:row>
    <x:row r="818">
      <x:c r="C818" s="58"/>
    </x:row>
    <x:row r="819">
      <x:c r="C819" s="58"/>
    </x:row>
    <x:row r="820">
      <x:c r="C820" s="58"/>
    </x:row>
    <x:row r="821">
      <x:c r="C821" s="58"/>
    </x:row>
    <x:row r="822">
      <x:c r="C822" s="58"/>
    </x:row>
    <x:row r="823">
      <x:c r="C823" s="58"/>
    </x:row>
    <x:row r="824">
      <x:c r="C824" s="58"/>
    </x:row>
    <x:row r="825">
      <x:c r="C825" s="58"/>
    </x:row>
    <x:row r="826">
      <x:c r="C826" s="58"/>
    </x:row>
    <x:row r="827">
      <x:c r="C827" s="58"/>
    </x:row>
    <x:row r="828">
      <x:c r="C828" s="58"/>
    </x:row>
    <x:row r="829">
      <x:c r="C829" s="58"/>
    </x:row>
    <x:row r="830">
      <x:c r="C830" s="58"/>
    </x:row>
    <x:row r="831">
      <x:c r="C831" s="58"/>
    </x:row>
    <x:row r="832">
      <x:c r="C832" s="58"/>
    </x:row>
    <x:row r="833">
      <x:c r="C833" s="58"/>
    </x:row>
    <x:row r="834">
      <x:c r="C834" s="58"/>
    </x:row>
    <x:row r="835">
      <x:c r="C835" s="58"/>
    </x:row>
    <x:row r="836">
      <x:c r="C836" s="58"/>
    </x:row>
    <x:row r="837">
      <x:c r="C837" s="58"/>
    </x:row>
    <x:row r="838">
      <x:c r="C838" s="58"/>
    </x:row>
    <x:row r="839">
      <x:c r="C839" s="58"/>
    </x:row>
    <x:row r="840">
      <x:c r="C840" s="58"/>
    </x:row>
    <x:row r="841">
      <x:c r="C841" s="58"/>
    </x:row>
    <x:row r="842">
      <x:c r="C842" s="58"/>
    </x:row>
    <x:row r="843">
      <x:c r="C843" s="58"/>
    </x:row>
    <x:row r="844">
      <x:c r="C844" s="58"/>
    </x:row>
    <x:row r="845">
      <x:c r="C845" s="58"/>
    </x:row>
    <x:row r="846">
      <x:c r="C846" s="58"/>
    </x:row>
    <x:row r="847">
      <x:c r="C847" s="58"/>
    </x:row>
    <x:row r="848">
      <x:c r="C848" s="58"/>
    </x:row>
    <x:row r="849">
      <x:c r="C849" s="58"/>
    </x:row>
    <x:row r="850">
      <x:c r="C850" s="58"/>
    </x:row>
    <x:row r="851">
      <x:c r="C851" s="58"/>
    </x:row>
    <x:row r="852">
      <x:c r="C852" s="58"/>
    </x:row>
    <x:row r="853">
      <x:c r="C853" s="58"/>
    </x:row>
    <x:row r="854">
      <x:c r="C854" s="58"/>
    </x:row>
    <x:row r="855">
      <x:c r="C855" s="58"/>
    </x:row>
    <x:row r="856">
      <x:c r="C856" s="58"/>
    </x:row>
    <x:row r="857">
      <x:c r="C857" s="58"/>
    </x:row>
    <x:row r="858">
      <x:c r="C858" s="58"/>
    </x:row>
    <x:row r="859">
      <x:c r="C859" s="58"/>
    </x:row>
    <x:row r="860">
      <x:c r="C860" s="58"/>
    </x:row>
    <x:row r="861">
      <x:c r="C861" s="58"/>
    </x:row>
    <x:row r="862">
      <x:c r="C862" s="58"/>
    </x:row>
    <x:row r="863">
      <x:c r="C863" s="58"/>
    </x:row>
    <x:row r="864">
      <x:c r="C864" s="58"/>
    </x:row>
    <x:row r="865">
      <x:c r="C865" s="58"/>
    </x:row>
    <x:row r="866">
      <x:c r="C866" s="58"/>
    </x:row>
    <x:row r="867">
      <x:c r="C867" s="58"/>
    </x:row>
    <x:row r="868">
      <x:c r="C868" s="58"/>
    </x:row>
    <x:row r="869">
      <x:c r="C869" s="58"/>
    </x:row>
    <x:row r="870">
      <x:c r="C870" s="58"/>
    </x:row>
    <x:row r="871">
      <x:c r="C871" s="58"/>
    </x:row>
    <x:row r="872">
      <x:c r="C872" s="58"/>
    </x:row>
    <x:row r="873">
      <x:c r="C873" s="58"/>
    </x:row>
    <x:row r="874">
      <x:c r="C874" s="58"/>
    </x:row>
    <x:row r="875">
      <x:c r="C875" s="58"/>
    </x:row>
    <x:row r="876">
      <x:c r="C876" s="58"/>
    </x:row>
    <x:row r="877">
      <x:c r="C877" s="58"/>
    </x:row>
    <x:row r="878">
      <x:c r="C878" s="58"/>
    </x:row>
    <x:row r="879">
      <x:c r="C879" s="58"/>
    </x:row>
    <x:row r="880">
      <x:c r="C880" s="58"/>
    </x:row>
    <x:row r="881">
      <x:c r="C881" s="58"/>
    </x:row>
    <x:row r="882">
      <x:c r="C882" s="58"/>
    </x:row>
    <x:row r="883">
      <x:c r="C883" s="58"/>
    </x:row>
    <x:row r="884">
      <x:c r="C884" s="58"/>
    </x:row>
    <x:row r="885">
      <x:c r="C885" s="58"/>
    </x:row>
    <x:row r="886">
      <x:c r="C886" s="58"/>
    </x:row>
    <x:row r="887">
      <x:c r="C887" s="58"/>
    </x:row>
    <x:row r="888">
      <x:c r="C888" s="58"/>
    </x:row>
    <x:row r="889">
      <x:c r="C889" s="58"/>
    </x:row>
    <x:row r="890">
      <x:c r="C890" s="58"/>
    </x:row>
    <x:row r="891">
      <x:c r="C891" s="58"/>
    </x:row>
    <x:row r="892">
      <x:c r="C892" s="58"/>
    </x:row>
    <x:row r="893">
      <x:c r="C893" s="58"/>
    </x:row>
    <x:row r="894">
      <x:c r="C894" s="58"/>
    </x:row>
    <x:row r="895">
      <x:c r="C895" s="58"/>
    </x:row>
    <x:row r="896">
      <x:c r="C896" s="58"/>
    </x:row>
    <x:row r="897">
      <x:c r="C897" s="58"/>
    </x:row>
    <x:row r="898">
      <x:c r="C898" s="58"/>
    </x:row>
    <x:row r="899">
      <x:c r="C899" s="58"/>
    </x:row>
    <x:row r="900">
      <x:c r="C900" s="58"/>
    </x:row>
    <x:row r="901">
      <x:c r="C901" s="58"/>
    </x:row>
    <x:row r="902">
      <x:c r="C902" s="58"/>
    </x:row>
    <x:row r="903">
      <x:c r="C903" s="58"/>
    </x:row>
    <x:row r="904">
      <x:c r="C904" s="58"/>
    </x:row>
    <x:row r="905">
      <x:c r="C905" s="58"/>
    </x:row>
    <x:row r="906">
      <x:c r="C906" s="58"/>
    </x:row>
    <x:row r="907">
      <x:c r="C907" s="58"/>
    </x:row>
    <x:row r="908">
      <x:c r="C908" s="58"/>
    </x:row>
    <x:row r="909">
      <x:c r="C909" s="58"/>
    </x:row>
    <x:row r="910">
      <x:c r="C910" s="58"/>
    </x:row>
    <x:row r="911">
      <x:c r="C911" s="58"/>
    </x:row>
    <x:row r="912">
      <x:c r="C912" s="58"/>
    </x:row>
    <x:row r="913">
      <x:c r="C913" s="58"/>
    </x:row>
    <x:row r="914">
      <x:c r="C914" s="58"/>
    </x:row>
    <x:row r="915">
      <x:c r="C915" s="58"/>
    </x:row>
    <x:row r="916">
      <x:c r="C916" s="58"/>
    </x:row>
    <x:row r="917">
      <x:c r="C917" s="58"/>
    </x:row>
    <x:row r="918">
      <x:c r="C918" s="58"/>
    </x:row>
    <x:row r="919">
      <x:c r="C919" s="58"/>
    </x:row>
    <x:row r="920">
      <x:c r="C920" s="58"/>
    </x:row>
    <x:row r="921">
      <x:c r="C921" s="58"/>
    </x:row>
    <x:row r="922">
      <x:c r="C922" s="58"/>
    </x:row>
    <x:row r="923">
      <x:c r="C923" s="58"/>
    </x:row>
    <x:row r="924">
      <x:c r="C924" s="58"/>
    </x:row>
    <x:row r="925">
      <x:c r="C925" s="58"/>
    </x:row>
    <x:row r="926">
      <x:c r="C926" s="58"/>
    </x:row>
    <x:row r="927">
      <x:c r="C927" s="58"/>
    </x:row>
    <x:row r="928">
      <x:c r="C928" s="58"/>
    </x:row>
    <x:row r="929">
      <x:c r="C929" s="58"/>
    </x:row>
    <x:row r="930">
      <x:c r="C930" s="58"/>
    </x:row>
    <x:row r="931">
      <x:c r="C931" s="58"/>
    </x:row>
    <x:row r="932">
      <x:c r="C932" s="58"/>
    </x:row>
    <x:row r="933">
      <x:c r="C933" s="58"/>
    </x:row>
    <x:row r="934">
      <x:c r="C934" s="58"/>
    </x:row>
    <x:row r="935">
      <x:c r="C935" s="58"/>
    </x:row>
    <x:row r="936">
      <x:c r="C936" s="58"/>
    </x:row>
    <x:row r="937">
      <x:c r="C937" s="58"/>
    </x:row>
    <x:row r="938">
      <x:c r="C938" s="58"/>
    </x:row>
    <x:row r="939">
      <x:c r="C939" s="58"/>
    </x:row>
    <x:row r="940">
      <x:c r="C940" s="58"/>
    </x:row>
    <x:row r="941">
      <x:c r="C941" s="58"/>
    </x:row>
    <x:row r="942">
      <x:c r="C942" s="58"/>
    </x:row>
    <x:row r="943">
      <x:c r="C943" s="58"/>
    </x:row>
    <x:row r="944">
      <x:c r="C944" s="58"/>
    </x:row>
    <x:row r="945">
      <x:c r="C945" s="58"/>
    </x:row>
    <x:row r="946">
      <x:c r="C946" s="58"/>
    </x:row>
    <x:row r="947">
      <x:c r="C947" s="58"/>
    </x:row>
    <x:row r="948">
      <x:c r="C948" s="58"/>
    </x:row>
    <x:row r="949">
      <x:c r="C949" s="58"/>
    </x:row>
    <x:row r="950">
      <x:c r="C950" s="58"/>
    </x:row>
    <x:row r="951">
      <x:c r="C951" s="58"/>
    </x:row>
    <x:row r="952">
      <x:c r="C952" s="58"/>
    </x:row>
    <x:row r="953">
      <x:c r="C953" s="58"/>
    </x:row>
    <x:row r="954">
      <x:c r="C954" s="58"/>
    </x:row>
    <x:row r="955">
      <x:c r="C955" s="58"/>
    </x:row>
    <x:row r="956">
      <x:c r="C956" s="58"/>
    </x:row>
    <x:row r="957">
      <x:c r="C957" s="58"/>
    </x:row>
    <x:row r="958">
      <x:c r="C958" s="58"/>
    </x:row>
    <x:row r="959">
      <x:c r="C959" s="58"/>
    </x:row>
    <x:row r="960">
      <x:c r="C960" s="58"/>
    </x:row>
    <x:row r="961">
      <x:c r="C961" s="58"/>
    </x:row>
    <x:row r="962">
      <x:c r="C962" s="58"/>
    </x:row>
    <x:row r="963">
      <x:c r="C963" s="58"/>
    </x:row>
    <x:row r="964">
      <x:c r="C964" s="58"/>
    </x:row>
    <x:row r="965">
      <x:c r="C965" s="58"/>
    </x:row>
    <x:row r="966">
      <x:c r="C966" s="58"/>
    </x:row>
    <x:row r="967">
      <x:c r="C967" s="58"/>
    </x:row>
    <x:row r="968">
      <x:c r="C968" s="58"/>
    </x:row>
    <x:row r="969">
      <x:c r="C969" s="58"/>
    </x:row>
    <x:row r="970">
      <x:c r="C970" s="58"/>
    </x:row>
    <x:row r="971">
      <x:c r="C971" s="58"/>
    </x:row>
    <x:row r="972">
      <x:c r="C972" s="58"/>
    </x:row>
    <x:row r="973">
      <x:c r="C973" s="58"/>
    </x:row>
    <x:row r="974">
      <x:c r="C974" s="58"/>
    </x:row>
    <x:row r="975">
      <x:c r="C975" s="58"/>
    </x:row>
    <x:row r="976">
      <x:c r="C976" s="58"/>
    </x:row>
    <x:row r="977">
      <x:c r="C977" s="58"/>
    </x:row>
    <x:row r="978">
      <x:c r="C978" s="58"/>
    </x:row>
    <x:row r="979">
      <x:c r="C979" s="58"/>
    </x:row>
    <x:row r="980">
      <x:c r="C980" s="58"/>
    </x:row>
    <x:row r="981">
      <x:c r="C981" s="58"/>
    </x:row>
    <x:row r="982">
      <x:c r="C982" s="58"/>
    </x:row>
    <x:row r="983">
      <x:c r="C983" s="58"/>
    </x:row>
    <x:row r="984">
      <x:c r="C984" s="58"/>
    </x:row>
    <x:row r="985">
      <x:c r="C985" s="58"/>
    </x:row>
    <x:row r="986">
      <x:c r="C986" s="58"/>
    </x:row>
    <x:row r="987">
      <x:c r="C987" s="58"/>
    </x:row>
    <x:row r="988">
      <x:c r="C988" s="58"/>
    </x:row>
    <x:row r="989">
      <x:c r="C989" s="58"/>
    </x:row>
    <x:row r="990">
      <x:c r="C990" s="58"/>
    </x:row>
    <x:row r="991">
      <x:c r="C991" s="58"/>
    </x:row>
    <x:row r="992">
      <x:c r="C992" s="58"/>
    </x:row>
    <x:row r="993">
      <x:c r="C993" s="58"/>
    </x:row>
    <x:row r="994">
      <x:c r="C994" s="58"/>
    </x:row>
    <x:row r="995">
      <x:c r="C995" s="58"/>
    </x:row>
    <x:row r="996">
      <x:c r="C996" s="58"/>
    </x:row>
    <x:row r="997">
      <x:c r="C997" s="58"/>
    </x:row>
    <x:row r="998">
      <x:c r="C998" s="58"/>
    </x:row>
    <x:row r="999">
      <x:c r="C999" s="58"/>
    </x:row>
    <x:row r="1000">
      <x:c r="C1000" s="58"/>
    </x:row>
    <x:row r="1001">
      <x:c r="C1001" s="58"/>
    </x:row>
    <x:row r="1002">
      <x:c r="C1002" s="58"/>
    </x:row>
    <x:row r="1003">
      <x:c r="C1003" s="58"/>
    </x:row>
    <x:row r="1004">
      <x:c r="C1004" s="58"/>
    </x:row>
    <x:row r="1005">
      <x:c r="C1005" s="58"/>
    </x:row>
    <x:row r="1006">
      <x:c r="C1006" s="58"/>
    </x:row>
    <x:row r="1007">
      <x:c r="C1007" s="58"/>
    </x:row>
    <x:row r="1008">
      <x:c r="C1008" s="58"/>
    </x:row>
    <x:row r="1009">
      <x:c r="C1009" s="58"/>
    </x:row>
    <x:row r="1010">
      <x:c r="C1010" s="58"/>
    </x:row>
    <x:row r="1011">
      <x:c r="C1011" s="58"/>
    </x:row>
    <x:row r="1012">
      <x:c r="C1012" s="58"/>
    </x:row>
    <x:row r="1013">
      <x:c r="C1013" s="58"/>
    </x:row>
    <x:row r="1014">
      <x:c r="C1014" s="58"/>
    </x:row>
    <x:row r="1015">
      <x:c r="C1015" s="58"/>
    </x:row>
    <x:row r="1016">
      <x:c r="C1016" s="58"/>
    </x:row>
    <x:row r="1017">
      <x:c r="C1017" s="58"/>
    </x:row>
    <x:row r="1018">
      <x:c r="C1018" s="58"/>
    </x:row>
    <x:row r="1019">
      <x:c r="C1019" s="58"/>
    </x:row>
    <x:row r="1020">
      <x:c r="C1020" s="58"/>
    </x:row>
    <x:row r="1021">
      <x:c r="C1021" s="58"/>
    </x:row>
    <x:row r="1022">
      <x:c r="C1022" s="58"/>
    </x:row>
    <x:row r="1023">
      <x:c r="C1023" s="58"/>
    </x:row>
    <x:row r="1024">
      <x:c r="C1024" s="58"/>
    </x:row>
    <x:row r="1025">
      <x:c r="C1025" s="58"/>
    </x:row>
    <x:row r="1026">
      <x:c r="C1026" s="58"/>
    </x:row>
    <x:row r="1027">
      <x:c r="C1027" s="58"/>
    </x:row>
    <x:row r="1028">
      <x:c r="C1028" s="58"/>
    </x:row>
    <x:row r="1029">
      <x:c r="C1029" s="58"/>
    </x:row>
    <x:row r="1030">
      <x:c r="C1030" s="58"/>
    </x:row>
    <x:row r="1031">
      <x:c r="C1031" s="58"/>
    </x:row>
    <x:row r="1032">
      <x:c r="C1032" s="58"/>
    </x:row>
    <x:row r="1033">
      <x:c r="C1033" s="58"/>
    </x:row>
    <x:row r="1034">
      <x:c r="C1034" s="58"/>
    </x:row>
    <x:row r="1035">
      <x:c r="C1035" s="58"/>
    </x:row>
    <x:row r="1036">
      <x:c r="C1036" s="58"/>
    </x:row>
    <x:row r="1037">
      <x:c r="C1037" s="58"/>
    </x:row>
    <x:row r="1038">
      <x:c r="C1038" s="58"/>
    </x:row>
    <x:row r="1039">
      <x:c r="C1039" s="58"/>
    </x:row>
    <x:row r="1040">
      <x:c r="C1040" s="58"/>
    </x:row>
    <x:row r="1041">
      <x:c r="C1041" s="58"/>
    </x:row>
    <x:row r="1042">
      <x:c r="C1042" s="58"/>
    </x:row>
    <x:row r="1043">
      <x:c r="C1043" s="58"/>
    </x:row>
    <x:row r="1044">
      <x:c r="C1044" s="58"/>
    </x:row>
    <x:row r="1045">
      <x:c r="C1045" s="58"/>
    </x:row>
    <x:row r="1046">
      <x:c r="C1046" s="58"/>
    </x:row>
    <x:row r="1047">
      <x:c r="C1047" s="58"/>
    </x:row>
    <x:row r="1048">
      <x:c r="C1048" s="58"/>
    </x:row>
    <x:row r="1049">
      <x:c r="C1049" s="58"/>
    </x:row>
    <x:row r="1050">
      <x:c r="C1050" s="58"/>
    </x:row>
    <x:row r="1051">
      <x:c r="C1051" s="58"/>
    </x:row>
    <x:row r="1052">
      <x:c r="C1052" s="58"/>
    </x:row>
    <x:row r="1053">
      <x:c r="C1053" s="58"/>
    </x:row>
    <x:row r="1054">
      <x:c r="C1054" s="58"/>
    </x:row>
    <x:row r="1055">
      <x:c r="C1055" s="58"/>
    </x:row>
    <x:row r="1056">
      <x:c r="C1056" s="58"/>
    </x:row>
    <x:row r="1057">
      <x:c r="C1057" s="58"/>
    </x:row>
    <x:row r="1058">
      <x:c r="C1058" s="58"/>
    </x:row>
    <x:row r="1059">
      <x:c r="C1059" s="58"/>
    </x:row>
    <x:row r="1060">
      <x:c r="C1060" s="58"/>
    </x:row>
    <x:row r="1061">
      <x:c r="C1061" s="58"/>
    </x:row>
    <x:row r="1062">
      <x:c r="C1062" s="58"/>
    </x:row>
    <x:row r="1063">
      <x:c r="C1063" s="58"/>
    </x:row>
    <x:row r="1064">
      <x:c r="C1064" s="58"/>
    </x:row>
    <x:row r="1065">
      <x:c r="C1065" s="58"/>
    </x:row>
    <x:row r="1066">
      <x:c r="C1066" s="58"/>
    </x:row>
    <x:row r="1067">
      <x:c r="C1067" s="58"/>
    </x:row>
    <x:row r="1068">
      <x:c r="C1068" s="58"/>
    </x:row>
    <x:row r="1069">
      <x:c r="C1069" s="58"/>
    </x:row>
    <x:row r="1070">
      <x:c r="C1070" s="58"/>
    </x:row>
    <x:row r="1071">
      <x:c r="C1071" s="58"/>
    </x:row>
    <x:row r="1072">
      <x:c r="C1072" s="58"/>
    </x:row>
    <x:row r="1073">
      <x:c r="C1073" s="58"/>
    </x:row>
    <x:row r="1074">
      <x:c r="C1074" s="58"/>
    </x:row>
    <x:row r="1075">
      <x:c r="C1075" s="58"/>
    </x:row>
    <x:row r="1076">
      <x:c r="C1076" s="58"/>
    </x:row>
    <x:row r="1077">
      <x:c r="C1077" s="58"/>
    </x:row>
    <x:row r="1078">
      <x:c r="C1078" s="58"/>
    </x:row>
    <x:row r="1079">
      <x:c r="C1079" s="58"/>
    </x:row>
    <x:row r="1080">
      <x:c r="C1080" s="58"/>
    </x:row>
    <x:row r="1081">
      <x:c r="C1081" s="58"/>
    </x:row>
    <x:row r="1082">
      <x:c r="C1082" s="58"/>
    </x:row>
    <x:row r="1083">
      <x:c r="C1083" s="58"/>
    </x:row>
    <x:row r="1084">
      <x:c r="C1084" s="58"/>
    </x:row>
    <x:row r="1085">
      <x:c r="C1085" s="58"/>
    </x:row>
    <x:row r="1086">
      <x:c r="C1086" s="58"/>
    </x:row>
    <x:row r="1087">
      <x:c r="C1087" s="58"/>
    </x:row>
    <x:row r="1088">
      <x:c r="C1088" s="58"/>
    </x:row>
    <x:row r="1089">
      <x:c r="C1089" s="58"/>
    </x:row>
    <x:row r="1090">
      <x:c r="C1090" s="58"/>
    </x:row>
    <x:row r="1091">
      <x:c r="C1091" s="58"/>
    </x:row>
    <x:row r="1092">
      <x:c r="C1092" s="58"/>
    </x:row>
    <x:row r="1093">
      <x:c r="C1093" s="58"/>
    </x:row>
    <x:row r="1094">
      <x:c r="C1094" s="58"/>
    </x:row>
    <x:row r="1095">
      <x:c r="C1095" s="58"/>
    </x:row>
    <x:row r="1096">
      <x:c r="C1096" s="58"/>
    </x:row>
    <x:row r="1097">
      <x:c r="C1097" s="58"/>
    </x:row>
    <x:row r="1098">
      <x:c r="C1098" s="58"/>
    </x:row>
    <x:row r="1099">
      <x:c r="C1099" s="58"/>
    </x:row>
    <x:row r="1100">
      <x:c r="C1100" s="58"/>
    </x:row>
    <x:row r="1101">
      <x:c r="C1101" s="58"/>
    </x:row>
    <x:row r="1102">
      <x:c r="C1102" s="58"/>
    </x:row>
    <x:row r="1103">
      <x:c r="C1103" s="58"/>
    </x:row>
    <x:row r="1104">
      <x:c r="C1104" s="58"/>
    </x:row>
    <x:row r="1105">
      <x:c r="C1105" s="58"/>
    </x:row>
    <x:row r="1106">
      <x:c r="C1106" s="58"/>
    </x:row>
    <x:row r="1107">
      <x:c r="C1107" s="58"/>
    </x:row>
    <x:row r="1108">
      <x:c r="C1108" s="58"/>
    </x:row>
    <x:row r="1109">
      <x:c r="C1109" s="58"/>
    </x:row>
    <x:row r="1110">
      <x:c r="C1110" s="58"/>
    </x:row>
    <x:row r="1111">
      <x:c r="C1111" s="58"/>
    </x:row>
    <x:row r="1112">
      <x:c r="C1112" s="58"/>
    </x:row>
    <x:row r="1113">
      <x:c r="C1113" s="58"/>
    </x:row>
    <x:row r="1114">
      <x:c r="C1114" s="58"/>
    </x:row>
    <x:row r="1115">
      <x:c r="C1115" s="58"/>
    </x:row>
    <x:row r="1116">
      <x:c r="C1116" s="58"/>
    </x:row>
    <x:row r="1117">
      <x:c r="C1117" s="58"/>
    </x:row>
    <x:row r="1118">
      <x:c r="C1118" s="58"/>
    </x:row>
    <x:row r="1119">
      <x:c r="C1119" s="58"/>
    </x:row>
    <x:row r="1120">
      <x:c r="C1120" s="58"/>
    </x:row>
    <x:row r="1121">
      <x:c r="C1121" s="58"/>
    </x:row>
    <x:row r="1122">
      <x:c r="C1122" s="58"/>
    </x:row>
    <x:row r="1123">
      <x:c r="C1123" s="58"/>
    </x:row>
    <x:row r="1124">
      <x:c r="C1124" s="58"/>
    </x:row>
    <x:row r="1125">
      <x:c r="C1125" s="58"/>
    </x:row>
    <x:row r="1126">
      <x:c r="C1126" s="58"/>
    </x:row>
    <x:row r="1127">
      <x:c r="C1127" s="58"/>
    </x:row>
    <x:row r="1128">
      <x:c r="C1128" s="58"/>
    </x:row>
    <x:row r="1129">
      <x:c r="C1129" s="58"/>
    </x:row>
    <x:row r="1130">
      <x:c r="C1130" s="58"/>
    </x:row>
    <x:row r="1131">
      <x:c r="C1131" s="58"/>
    </x:row>
    <x:row r="1132">
      <x:c r="C1132" s="58"/>
    </x:row>
    <x:row r="1133">
      <x:c r="C1133" s="58"/>
    </x:row>
    <x:row r="1134">
      <x:c r="C1134" s="58"/>
    </x:row>
    <x:row r="1135">
      <x:c r="C1135" s="58"/>
    </x:row>
    <x:row r="1136">
      <x:c r="C1136" s="58"/>
    </x:row>
    <x:row r="1137">
      <x:c r="C1137" s="58"/>
    </x:row>
    <x:row r="1138">
      <x:c r="C1138" s="58"/>
    </x:row>
    <x:row r="1139">
      <x:c r="C1139" s="58"/>
    </x:row>
    <x:row r="1140">
      <x:c r="C1140" s="58"/>
    </x:row>
    <x:row r="1141">
      <x:c r="C1141" s="58"/>
    </x:row>
    <x:row r="1142">
      <x:c r="C1142" s="58"/>
    </x:row>
    <x:row r="1143">
      <x:c r="C1143" s="58"/>
    </x:row>
    <x:row r="1144">
      <x:c r="C1144" s="58"/>
    </x:row>
    <x:row r="1145">
      <x:c r="C1145" s="58"/>
    </x:row>
    <x:row r="1146">
      <x:c r="C1146" s="58"/>
    </x:row>
    <x:row r="1147">
      <x:c r="C1147" s="58"/>
    </x:row>
    <x:row r="1148">
      <x:c r="C1148" s="58"/>
    </x:row>
    <x:row r="1149">
      <x:c r="C1149" s="58"/>
    </x:row>
    <x:row r="1150">
      <x:c r="C1150" s="58"/>
    </x:row>
    <x:row r="1151">
      <x:c r="C1151" s="58"/>
    </x:row>
    <x:row r="1152">
      <x:c r="C1152" s="58"/>
    </x:row>
    <x:row r="1153">
      <x:c r="C1153" s="58"/>
    </x:row>
    <x:row r="1154">
      <x:c r="C1154" s="58"/>
    </x:row>
    <x:row r="1155">
      <x:c r="C1155" s="58"/>
    </x:row>
    <x:row r="1156">
      <x:c r="C1156" s="58"/>
    </x:row>
    <x:row r="1157">
      <x:c r="C1157" s="58"/>
    </x:row>
    <x:row r="1158">
      <x:c r="C1158" s="58"/>
    </x:row>
    <x:row r="1159">
      <x:c r="C1159" s="58"/>
    </x:row>
    <x:row r="1160">
      <x:c r="C1160" s="58"/>
    </x:row>
    <x:row r="1161">
      <x:c r="C1161" s="58"/>
    </x:row>
    <x:row r="1162">
      <x:c r="C1162" s="58"/>
    </x:row>
    <x:row r="1163">
      <x:c r="C1163" s="58"/>
    </x:row>
    <x:row r="1164">
      <x:c r="C1164" s="58"/>
    </x:row>
    <x:row r="1165">
      <x:c r="C1165" s="58"/>
    </x:row>
    <x:row r="1166">
      <x:c r="C1166" s="58"/>
    </x:row>
    <x:row r="1167">
      <x:c r="C1167" s="58"/>
    </x:row>
    <x:row r="1168">
      <x:c r="C1168" s="58"/>
    </x:row>
    <x:row r="1169">
      <x:c r="C1169" s="58"/>
    </x:row>
    <x:row r="1170">
      <x:c r="C1170" s="58"/>
    </x:row>
    <x:row r="1171">
      <x:c r="C1171" s="58"/>
    </x:row>
    <x:row r="1172">
      <x:c r="C1172" s="58"/>
    </x:row>
    <x:row r="1173">
      <x:c r="C1173" s="58"/>
    </x:row>
    <x:row r="1174">
      <x:c r="C1174" s="58"/>
    </x:row>
    <x:row r="1175">
      <x:c r="C1175" s="58"/>
    </x:row>
    <x:row r="1176">
      <x:c r="C1176" s="58"/>
    </x:row>
    <x:row r="1177">
      <x:c r="C1177" s="58"/>
    </x:row>
    <x:row r="1178">
      <x:c r="C1178" s="58"/>
    </x:row>
    <x:row r="1179">
      <x:c r="C1179" s="58"/>
    </x:row>
    <x:row r="1180">
      <x:c r="C1180" s="58"/>
    </x:row>
    <x:row r="1181">
      <x:c r="C1181" s="58"/>
    </x:row>
    <x:row r="1182">
      <x:c r="C1182" s="58"/>
    </x:row>
    <x:row r="1183">
      <x:c r="C1183" s="58"/>
    </x:row>
    <x:row r="1184">
      <x:c r="C1184" s="58"/>
    </x:row>
    <x:row r="1185">
      <x:c r="C1185" s="58"/>
    </x:row>
    <x:row r="1186">
      <x:c r="C1186" s="58"/>
    </x:row>
    <x:row r="1187">
      <x:c r="C1187" s="58"/>
    </x:row>
    <x:row r="1188">
      <x:c r="C1188" s="58"/>
    </x:row>
    <x:row r="1189">
      <x:c r="C1189" s="58"/>
    </x:row>
    <x:row r="1190">
      <x:c r="C1190" s="58"/>
    </x:row>
    <x:row r="1191">
      <x:c r="C1191" s="58"/>
    </x:row>
    <x:row r="1192">
      <x:c r="C1192" s="58"/>
    </x:row>
    <x:row r="1193">
      <x:c r="C1193" s="58"/>
    </x:row>
    <x:row r="1194">
      <x:c r="C1194" s="58"/>
    </x:row>
    <x:row r="1195">
      <x:c r="C1195" s="58"/>
    </x:row>
    <x:row r="1196">
      <x:c r="C1196" s="58"/>
    </x:row>
    <x:row r="1197">
      <x:c r="C1197" s="58"/>
    </x:row>
    <x:row r="1198">
      <x:c r="C1198" s="58"/>
    </x:row>
    <x:row r="1199">
      <x:c r="C1199" s="58"/>
    </x:row>
    <x:row r="1200">
      <x:c r="C1200" s="58"/>
    </x:row>
    <x:row r="1201">
      <x:c r="C1201" s="58"/>
    </x:row>
    <x:row r="1202">
      <x:c r="C1202" s="58"/>
    </x:row>
    <x:row r="1203">
      <x:c r="C1203" s="58"/>
    </x:row>
    <x:row r="1204">
      <x:c r="C1204" s="58"/>
    </x:row>
    <x:row r="1205">
      <x:c r="C1205" s="58"/>
    </x:row>
    <x:row r="1206">
      <x:c r="C1206" s="58"/>
    </x:row>
    <x:row r="1207">
      <x:c r="C1207" s="58"/>
    </x:row>
    <x:row r="1208">
      <x:c r="C1208" s="58"/>
    </x:row>
    <x:row r="1209">
      <x:c r="C1209" s="58"/>
    </x:row>
    <x:row r="1210">
      <x:c r="C1210" s="58"/>
    </x:row>
    <x:row r="1211">
      <x:c r="C1211" s="58"/>
    </x:row>
    <x:row r="1212">
      <x:c r="C1212" s="58"/>
    </x:row>
    <x:row r="1213">
      <x:c r="C1213" s="58"/>
    </x:row>
    <x:row r="1214">
      <x:c r="C1214" s="58"/>
    </x:row>
    <x:row r="1215">
      <x:c r="C1215" s="58"/>
    </x:row>
    <x:row r="1216">
      <x:c r="C1216" s="58"/>
    </x:row>
    <x:row r="1217">
      <x:c r="C1217" s="58"/>
    </x:row>
    <x:row r="1218">
      <x:c r="C1218" s="58"/>
    </x:row>
    <x:row r="1219">
      <x:c r="C1219" s="58"/>
    </x:row>
    <x:row r="1220">
      <x:c r="C1220" s="58"/>
    </x:row>
    <x:row r="1221">
      <x:c r="C1221" s="58"/>
    </x:row>
    <x:row r="1222">
      <x:c r="C1222" s="58"/>
    </x:row>
    <x:row r="1223">
      <x:c r="C1223" s="58"/>
    </x:row>
    <x:row r="1224">
      <x:c r="C1224" s="58"/>
    </x:row>
    <x:row r="1225">
      <x:c r="C1225" s="58"/>
    </x:row>
    <x:row r="1226">
      <x:c r="C1226" s="58"/>
    </x:row>
    <x:row r="1227">
      <x:c r="C1227" s="58"/>
    </x:row>
    <x:row r="1228">
      <x:c r="C1228" s="58"/>
    </x:row>
    <x:row r="1229">
      <x:c r="C1229" s="58"/>
    </x:row>
    <x:row r="1230">
      <x:c r="C1230" s="58"/>
    </x:row>
    <x:row r="1231">
      <x:c r="C1231" s="58"/>
    </x:row>
    <x:row r="1232">
      <x:c r="C1232" s="58"/>
    </x:row>
    <x:row r="1233">
      <x:c r="C1233" s="58"/>
    </x:row>
    <x:row r="1234">
      <x:c r="C1234" s="58"/>
    </x:row>
    <x:row r="1235">
      <x:c r="C1235" s="58"/>
    </x:row>
    <x:row r="1236">
      <x:c r="C1236" s="58"/>
    </x:row>
    <x:row r="1237">
      <x:c r="C1237" s="58"/>
    </x:row>
    <x:row r="1238">
      <x:c r="C1238" s="58"/>
    </x:row>
    <x:row r="1239">
      <x:c r="C1239" s="58"/>
    </x:row>
    <x:row r="1240">
      <x:c r="C1240" s="58"/>
    </x:row>
    <x:row r="1241">
      <x:c r="C1241" s="58"/>
    </x:row>
    <x:row r="1242">
      <x:c r="C1242" s="58"/>
    </x:row>
    <x:row r="1243">
      <x:c r="C1243" s="58"/>
    </x:row>
    <x:row r="1244">
      <x:c r="C1244" s="58"/>
    </x:row>
    <x:row r="1245">
      <x:c r="C1245" s="58"/>
    </x:row>
    <x:row r="1246">
      <x:c r="C1246" s="58"/>
    </x:row>
    <x:row r="1247">
      <x:c r="C1247" s="58"/>
    </x:row>
    <x:row r="1248">
      <x:c r="C1248" s="58"/>
    </x:row>
    <x:row r="1249">
      <x:c r="C1249" s="58"/>
    </x:row>
    <x:row r="1250">
      <x:c r="C1250" s="58"/>
    </x:row>
    <x:row r="1251">
      <x:c r="C1251" s="58"/>
    </x:row>
    <x:row r="1252">
      <x:c r="C1252" s="58"/>
    </x:row>
    <x:row r="1253">
      <x:c r="C1253" s="58"/>
    </x:row>
    <x:row r="1254">
      <x:c r="C1254" s="58"/>
    </x:row>
    <x:row r="1255">
      <x:c r="C1255" s="58"/>
    </x:row>
    <x:row r="1256">
      <x:c r="C1256" s="58"/>
    </x:row>
    <x:row r="1257">
      <x:c r="C1257" s="58"/>
    </x:row>
    <x:row r="1258">
      <x:c r="C1258" s="58"/>
    </x:row>
    <x:row r="1259">
      <x:c r="C1259" s="58"/>
    </x:row>
    <x:row r="1260">
      <x:c r="C1260" s="58"/>
    </x:row>
    <x:row r="1261">
      <x:c r="C1261" s="58"/>
    </x:row>
    <x:row r="1262">
      <x:c r="C1262" s="58"/>
    </x:row>
    <x:row r="1263">
      <x:c r="C1263" s="58"/>
    </x:row>
    <x:row r="1264">
      <x:c r="C1264" s="58"/>
    </x:row>
    <x:row r="1265">
      <x:c r="C1265" s="58"/>
    </x:row>
    <x:row r="1266">
      <x:c r="C1266" s="58"/>
    </x:row>
    <x:row r="1267">
      <x:c r="C1267" s="58"/>
    </x:row>
    <x:row r="1268">
      <x:c r="C1268" s="58"/>
    </x:row>
    <x:row r="1269">
      <x:c r="C1269" s="58"/>
    </x:row>
    <x:row r="1270">
      <x:c r="C1270" s="58"/>
    </x:row>
    <x:row r="1271">
      <x:c r="C1271" s="58"/>
    </x:row>
    <x:row r="1272">
      <x:c r="C1272" s="58"/>
    </x:row>
    <x:row r="1273">
      <x:c r="C1273" s="58"/>
    </x:row>
    <x:row r="1274">
      <x:c r="C1274" s="58"/>
    </x:row>
    <x:row r="1275">
      <x:c r="C1275" s="58"/>
    </x:row>
    <x:row r="1276">
      <x:c r="C1276" s="58"/>
    </x:row>
    <x:row r="1277">
      <x:c r="C1277" s="58"/>
    </x:row>
    <x:row r="1278">
      <x:c r="C1278" s="58"/>
    </x:row>
    <x:row r="1279">
      <x:c r="C1279" s="58"/>
    </x:row>
    <x:row r="1280">
      <x:c r="C1280" s="58"/>
    </x:row>
    <x:row r="1281">
      <x:c r="C1281" s="58"/>
    </x:row>
    <x:row r="1282">
      <x:c r="C1282" s="58"/>
    </x:row>
    <x:row r="1283">
      <x:c r="C1283" s="58"/>
    </x:row>
    <x:row r="1284">
      <x:c r="C1284" s="58"/>
    </x:row>
    <x:row r="1285">
      <x:c r="C1285" s="58"/>
    </x:row>
    <x:row r="1286">
      <x:c r="C1286" s="58"/>
    </x:row>
    <x:row r="1287">
      <x:c r="C1287" s="58"/>
    </x:row>
    <x:row r="1288">
      <x:c r="C1288" s="58"/>
    </x:row>
    <x:row r="1289">
      <x:c r="C1289" s="58"/>
    </x:row>
    <x:row r="1290">
      <x:c r="C1290" s="58"/>
    </x:row>
    <x:row r="1291">
      <x:c r="C1291" s="58"/>
    </x:row>
    <x:row r="1292">
      <x:c r="C1292" s="58"/>
    </x:row>
    <x:row r="1293">
      <x:c r="C1293" s="58"/>
    </x:row>
    <x:row r="1294">
      <x:c r="C1294" s="58"/>
    </x:row>
    <x:row r="1295">
      <x:c r="C1295" s="58"/>
    </x:row>
    <x:row r="1296">
      <x:c r="C1296" s="58"/>
    </x:row>
    <x:row r="1297">
      <x:c r="C1297" s="58"/>
    </x:row>
    <x:row r="1298">
      <x:c r="C1298" s="58"/>
    </x:row>
    <x:row r="1299">
      <x:c r="C1299" s="58"/>
    </x:row>
    <x:row r="1300">
      <x:c r="C1300" s="58"/>
    </x:row>
    <x:row r="1301">
      <x:c r="C1301" s="58"/>
    </x:row>
    <x:row r="1302">
      <x:c r="C1302" s="58"/>
    </x:row>
    <x:row r="1303">
      <x:c r="C1303" s="58"/>
    </x:row>
    <x:row r="1304">
      <x:c r="C1304" s="58"/>
    </x:row>
    <x:row r="1305">
      <x:c r="C1305" s="58"/>
    </x:row>
    <x:row r="1306">
      <x:c r="C1306" s="58"/>
    </x:row>
    <x:row r="1307">
      <x:c r="C1307" s="58"/>
    </x:row>
    <x:row r="1308">
      <x:c r="C1308" s="58"/>
    </x:row>
    <x:row r="1309">
      <x:c r="C1309" s="58"/>
    </x:row>
    <x:row r="1310">
      <x:c r="C1310" s="58"/>
    </x:row>
    <x:row r="1311">
      <x:c r="C1311" s="58"/>
    </x:row>
    <x:row r="1312">
      <x:c r="C1312" s="58"/>
    </x:row>
    <x:row r="1313">
      <x:c r="C1313" s="58"/>
    </x:row>
    <x:row r="1314">
      <x:c r="C1314" s="58"/>
    </x:row>
    <x:row r="1315">
      <x:c r="C1315" s="58"/>
    </x:row>
    <x:row r="1316">
      <x:c r="C1316" s="58"/>
    </x:row>
    <x:row r="1317">
      <x:c r="C1317" s="58"/>
    </x:row>
    <x:row r="1318">
      <x:c r="C1318" s="58"/>
    </x:row>
    <x:row r="1319">
      <x:c r="C1319" s="58"/>
    </x:row>
    <x:row r="1320">
      <x:c r="C1320" s="58"/>
    </x:row>
    <x:row r="1321">
      <x:c r="C1321" s="58"/>
    </x:row>
    <x:row r="1322">
      <x:c r="C1322" s="58"/>
    </x:row>
    <x:row r="1323">
      <x:c r="C1323" s="58"/>
    </x:row>
    <x:row r="1324">
      <x:c r="C1324" s="58"/>
    </x:row>
    <x:row r="1325">
      <x:c r="C1325" s="58"/>
    </x:row>
    <x:row r="1326">
      <x:c r="C1326" s="58"/>
    </x:row>
    <x:row r="1327">
      <x:c r="C1327" s="58"/>
    </x:row>
    <x:row r="1328">
      <x:c r="C1328" s="58"/>
    </x:row>
    <x:row r="1329">
      <x:c r="C1329" s="58"/>
    </x:row>
    <x:row r="1330">
      <x:c r="C1330" s="58"/>
    </x:row>
    <x:row r="1331">
      <x:c r="C1331" s="58"/>
    </x:row>
    <x:row r="1332">
      <x:c r="C1332" s="58"/>
    </x:row>
    <x:row r="1333">
      <x:c r="C1333" s="58"/>
    </x:row>
    <x:row r="1334">
      <x:c r="C1334" s="58"/>
    </x:row>
    <x:row r="1335">
      <x:c r="C1335" s="58"/>
    </x:row>
    <x:row r="1336">
      <x:c r="C1336" s="58"/>
    </x:row>
    <x:row r="1337">
      <x:c r="C1337" s="58"/>
    </x:row>
    <x:row r="1338">
      <x:c r="C1338" s="58"/>
    </x:row>
    <x:row r="1339">
      <x:c r="C1339" s="58"/>
    </x:row>
    <x:row r="1340">
      <x:c r="C1340" s="58"/>
    </x:row>
    <x:row r="1341">
      <x:c r="C1341" s="58"/>
    </x:row>
    <x:row r="1342">
      <x:c r="C1342" s="58"/>
    </x:row>
    <x:row r="1343">
      <x:c r="C1343" s="58"/>
    </x:row>
    <x:row r="1344">
      <x:c r="C1344" s="58"/>
    </x:row>
    <x:row r="1345">
      <x:c r="C1345" s="58"/>
    </x:row>
    <x:row r="1346">
      <x:c r="C1346" s="58"/>
    </x:row>
    <x:row r="1347">
      <x:c r="C1347" s="58"/>
    </x:row>
    <x:row r="1348">
      <x:c r="C1348" s="58"/>
    </x:row>
    <x:row r="1349">
      <x:c r="C1349" s="58"/>
    </x:row>
    <x:row r="1350">
      <x:c r="C1350" s="58"/>
    </x:row>
    <x:row r="1351">
      <x:c r="C1351" s="58"/>
    </x:row>
    <x:row r="1352">
      <x:c r="C1352" s="58"/>
    </x:row>
    <x:row r="1353">
      <x:c r="C1353" s="58"/>
    </x:row>
    <x:row r="1354">
      <x:c r="C1354" s="58"/>
    </x:row>
    <x:row r="1355">
      <x:c r="C1355" s="58"/>
    </x:row>
    <x:row r="1356">
      <x:c r="C1356" s="58"/>
    </x:row>
    <x:row r="1357">
      <x:c r="C1357" s="58"/>
    </x:row>
    <x:row r="1358">
      <x:c r="C1358" s="58"/>
    </x:row>
    <x:row r="1359">
      <x:c r="C1359" s="58"/>
    </x:row>
    <x:row r="1360">
      <x:c r="C1360" s="58"/>
    </x:row>
    <x:row r="1361">
      <x:c r="C1361" s="58"/>
    </x:row>
    <x:row r="1362">
      <x:c r="C1362" s="58"/>
    </x:row>
    <x:row r="1363">
      <x:c r="C1363" s="58"/>
    </x:row>
    <x:row r="1364">
      <x:c r="C1364" s="58"/>
    </x:row>
    <x:row r="1365">
      <x:c r="C1365" s="58"/>
    </x:row>
    <x:row r="1366">
      <x:c r="C1366" s="58"/>
    </x:row>
    <x:row r="1367">
      <x:c r="C1367" s="58"/>
    </x:row>
    <x:row r="1368">
      <x:c r="C1368" s="58"/>
    </x:row>
    <x:row r="1369">
      <x:c r="C1369" s="58"/>
    </x:row>
    <x:row r="1370">
      <x:c r="C1370" s="58"/>
    </x:row>
    <x:row r="1371">
      <x:c r="C1371" s="58"/>
    </x:row>
    <x:row r="1372">
      <x:c r="C1372" s="58"/>
    </x:row>
    <x:row r="1373">
      <x:c r="C1373" s="58"/>
    </x:row>
    <x:row r="1374">
      <x:c r="C1374" s="58"/>
    </x:row>
    <x:row r="1375">
      <x:c r="C1375" s="58"/>
    </x:row>
    <x:row r="1376">
      <x:c r="C1376" s="58"/>
    </x:row>
    <x:row r="1377">
      <x:c r="C1377" s="58"/>
    </x:row>
    <x:row r="1378">
      <x:c r="C1378" s="58"/>
    </x:row>
    <x:row r="1379">
      <x:c r="C1379" s="58"/>
    </x:row>
    <x:row r="1380">
      <x:c r="C1380" s="58"/>
    </x:row>
    <x:row r="1381">
      <x:c r="C1381" s="58"/>
    </x:row>
    <x:row r="1382">
      <x:c r="C1382" s="58"/>
    </x:row>
    <x:row r="1383">
      <x:c r="C1383" s="58"/>
    </x:row>
    <x:row r="1384">
      <x:c r="C1384" s="58"/>
    </x:row>
    <x:row r="1385">
      <x:c r="C1385" s="58"/>
    </x:row>
    <x:row r="1386">
      <x:c r="C1386" s="58"/>
    </x:row>
    <x:row r="1387">
      <x:c r="C1387" s="58"/>
    </x:row>
    <x:row r="1388">
      <x:c r="C1388" s="58"/>
    </x:row>
    <x:row r="1389">
      <x:c r="C1389" s="58"/>
    </x:row>
    <x:row r="1390">
      <x:c r="C1390" s="58"/>
    </x:row>
    <x:row r="1391">
      <x:c r="C1391" s="58"/>
    </x:row>
    <x:row r="1392">
      <x:c r="C1392" s="58"/>
    </x:row>
    <x:row r="1393">
      <x:c r="C1393" s="58"/>
    </x:row>
    <x:row r="1394">
      <x:c r="C1394" s="58"/>
    </x:row>
    <x:row r="1395">
      <x:c r="C1395" s="58"/>
    </x:row>
    <x:row r="1396">
      <x:c r="C1396" s="58"/>
    </x:row>
    <x:row r="1397">
      <x:c r="C1397" s="58"/>
    </x:row>
    <x:row r="1398">
      <x:c r="C1398" s="58"/>
    </x:row>
    <x:row r="1399">
      <x:c r="C1399" s="58"/>
    </x:row>
    <x:row r="1400">
      <x:c r="C1400" s="58"/>
    </x:row>
    <x:row r="1401">
      <x:c r="C1401" s="58"/>
    </x:row>
    <x:row r="1402">
      <x:c r="C1402" s="58"/>
    </x:row>
    <x:row r="1403">
      <x:c r="C1403" s="58"/>
    </x:row>
    <x:row r="1404">
      <x:c r="C1404" s="58"/>
    </x:row>
    <x:row r="1405">
      <x:c r="C1405" s="58"/>
    </x:row>
    <x:row r="1406">
      <x:c r="C1406" s="58"/>
    </x:row>
    <x:row r="1407">
      <x:c r="C1407" s="58"/>
    </x:row>
    <x:row r="1408">
      <x:c r="C1408" s="58"/>
    </x:row>
    <x:row r="1409">
      <x:c r="C1409" s="58"/>
    </x:row>
    <x:row r="1410">
      <x:c r="C1410" s="58"/>
    </x:row>
    <x:row r="1411">
      <x:c r="C1411" s="58"/>
    </x:row>
    <x:row r="1412">
      <x:c r="C1412" s="58"/>
    </x:row>
    <x:row r="1413">
      <x:c r="C1413" s="58"/>
    </x:row>
    <x:row r="1414">
      <x:c r="C1414" s="58"/>
    </x:row>
    <x:row r="1415">
      <x:c r="C1415" s="58"/>
    </x:row>
    <x:row r="1416">
      <x:c r="C1416" s="58"/>
    </x:row>
    <x:row r="1417">
      <x:c r="C1417" s="58"/>
    </x:row>
    <x:row r="1418">
      <x:c r="C1418" s="58"/>
    </x:row>
    <x:row r="1419">
      <x:c r="C1419" s="58"/>
    </x:row>
    <x:row r="1420">
      <x:c r="C1420" s="58"/>
    </x:row>
    <x:row r="1421">
      <x:c r="C1421" s="58"/>
    </x:row>
    <x:row r="1422">
      <x:c r="C1422" s="58"/>
    </x:row>
    <x:row r="1423">
      <x:c r="C1423" s="58"/>
    </x:row>
    <x:row r="1424">
      <x:c r="C1424" s="58"/>
    </x:row>
    <x:row r="1425">
      <x:c r="C1425" s="58"/>
    </x:row>
    <x:row r="1426">
      <x:c r="C1426" s="58"/>
    </x:row>
    <x:row r="1427">
      <x:c r="C1427" s="58"/>
    </x:row>
    <x:row r="1428">
      <x:c r="C1428" s="58"/>
    </x:row>
    <x:row r="1429">
      <x:c r="C1429" s="58"/>
    </x:row>
    <x:row r="1430">
      <x:c r="C1430" s="58"/>
    </x:row>
    <x:row r="1431">
      <x:c r="C1431" s="58"/>
    </x:row>
    <x:row r="1432">
      <x:c r="C1432" s="58"/>
    </x:row>
    <x:row r="1433">
      <x:c r="C1433" s="58"/>
    </x:row>
    <x:row r="1434">
      <x:c r="C1434" s="58"/>
    </x:row>
    <x:row r="1435">
      <x:c r="C1435" s="58"/>
    </x:row>
    <x:row r="1436">
      <x:c r="C1436" s="58"/>
    </x:row>
    <x:row r="1437">
      <x:c r="C1437" s="58"/>
    </x:row>
    <x:row r="1438">
      <x:c r="C1438" s="58"/>
    </x:row>
    <x:row r="1439">
      <x:c r="C1439" s="58"/>
    </x:row>
    <x:row r="1440">
      <x:c r="C1440" s="58"/>
    </x:row>
    <x:row r="1441">
      <x:c r="C1441" s="58"/>
    </x:row>
    <x:row r="1442">
      <x:c r="C1442" s="58"/>
    </x:row>
    <x:row r="1443">
      <x:c r="C1443" s="58"/>
    </x:row>
    <x:row r="1444">
      <x:c r="C1444" s="58"/>
    </x:row>
    <x:row r="1445">
      <x:c r="C1445" s="58"/>
    </x:row>
    <x:row r="1446">
      <x:c r="C1446" s="58"/>
    </x:row>
    <x:row r="1447">
      <x:c r="C1447" s="58"/>
    </x:row>
    <x:row r="1448">
      <x:c r="C1448" s="58"/>
    </x:row>
    <x:row r="1449">
      <x:c r="C1449" s="58"/>
    </x:row>
    <x:row r="1450">
      <x:c r="C1450" s="58"/>
    </x:row>
    <x:row r="1451">
      <x:c r="C1451" s="58"/>
    </x:row>
    <x:row r="1452">
      <x:c r="C1452" s="58"/>
    </x:row>
    <x:row r="1453">
      <x:c r="C1453" s="58"/>
    </x:row>
    <x:row r="1454">
      <x:c r="C1454" s="58"/>
    </x:row>
    <x:row r="1455">
      <x:c r="C1455" s="58"/>
    </x:row>
    <x:row r="1456">
      <x:c r="C1456" s="58"/>
    </x:row>
    <x:row r="1457">
      <x:c r="C1457" s="58"/>
    </x:row>
    <x:row r="1458">
      <x:c r="C1458" s="58"/>
    </x:row>
    <x:row r="1459">
      <x:c r="C1459" s="58"/>
    </x:row>
    <x:row r="1460">
      <x:c r="C1460" s="58"/>
    </x:row>
    <x:row r="1461">
      <x:c r="C1461" s="58"/>
    </x:row>
    <x:row r="1462">
      <x:c r="C1462" s="58"/>
    </x:row>
    <x:row r="1463">
      <x:c r="C1463" s="58"/>
    </x:row>
    <x:row r="1464">
      <x:c r="C1464" s="58"/>
    </x:row>
    <x:row r="1465">
      <x:c r="C1465" s="58"/>
    </x:row>
    <x:row r="1466">
      <x:c r="C1466" s="58"/>
    </x:row>
    <x:row r="1467">
      <x:c r="C1467" s="58"/>
    </x:row>
    <x:row r="1468">
      <x:c r="C1468" s="58"/>
    </x:row>
    <x:row r="1469">
      <x:c r="C1469" s="58"/>
    </x:row>
    <x:row r="1470">
      <x:c r="C1470" s="58"/>
    </x:row>
    <x:row r="1471">
      <x:c r="C1471" s="58"/>
    </x:row>
    <x:row r="1472">
      <x:c r="C1472" s="58"/>
    </x:row>
    <x:row r="1473">
      <x:c r="C1473" s="58"/>
    </x:row>
    <x:row r="1474">
      <x:c r="C1474" s="58"/>
    </x:row>
    <x:row r="1475">
      <x:c r="C1475" s="58"/>
    </x:row>
    <x:row r="1476">
      <x:c r="C1476" s="58"/>
    </x:row>
    <x:row r="1477">
      <x:c r="C1477" s="58"/>
    </x:row>
    <x:row r="1478">
      <x:c r="C1478" s="58"/>
    </x:row>
    <x:row r="1479">
      <x:c r="C1479" s="58"/>
    </x:row>
    <x:row r="1480">
      <x:c r="C1480" s="58"/>
    </x:row>
    <x:row r="1481">
      <x:c r="C1481" s="58"/>
    </x:row>
    <x:row r="1482">
      <x:c r="C1482" s="58"/>
    </x:row>
    <x:row r="1483">
      <x:c r="C1483" s="58"/>
    </x:row>
    <x:row r="1484">
      <x:c r="C1484" s="58"/>
    </x:row>
    <x:row r="1485">
      <x:c r="C1485" s="58"/>
    </x:row>
    <x:row r="1486">
      <x:c r="C1486" s="58"/>
    </x:row>
    <x:row r="1487">
      <x:c r="C1487" s="58"/>
    </x:row>
    <x:row r="1488">
      <x:c r="C1488" s="58"/>
    </x:row>
    <x:row r="1489">
      <x:c r="C1489" s="58"/>
    </x:row>
    <x:row r="1490">
      <x:c r="C1490" s="58"/>
    </x:row>
    <x:row r="1491">
      <x:c r="C1491" s="58"/>
    </x:row>
    <x:row r="1492">
      <x:c r="C1492" s="58"/>
    </x:row>
    <x:row r="1493">
      <x:c r="C1493" s="58"/>
    </x:row>
    <x:row r="1494">
      <x:c r="C1494" s="58"/>
    </x:row>
    <x:row r="1495">
      <x:c r="C1495" s="58"/>
    </x:row>
    <x:row r="1496">
      <x:c r="C1496" s="58"/>
    </x:row>
    <x:row r="1497">
      <x:c r="C1497" s="58"/>
    </x:row>
    <x:row r="1498">
      <x:c r="C1498" s="58"/>
    </x:row>
    <x:row r="1499">
      <x:c r="C1499" s="58"/>
    </x:row>
    <x:row r="1500">
      <x:c r="C1500" s="58"/>
    </x:row>
    <x:row r="1501">
      <x:c r="C1501" s="58"/>
    </x:row>
    <x:row r="1502">
      <x:c r="C1502" s="58"/>
    </x:row>
    <x:row r="1503">
      <x:c r="C1503" s="58"/>
    </x:row>
    <x:row r="1504">
      <x:c r="C1504" s="58"/>
    </x:row>
    <x:row r="1505">
      <x:c r="C1505" s="58"/>
    </x:row>
    <x:row r="1506">
      <x:c r="C1506" s="58"/>
    </x:row>
    <x:row r="1507">
      <x:c r="C1507" s="58"/>
    </x:row>
    <x:row r="1508">
      <x:c r="C1508" s="58"/>
    </x:row>
    <x:row r="1509">
      <x:c r="C1509" s="58"/>
    </x:row>
    <x:row r="1510">
      <x:c r="C1510" s="58"/>
    </x:row>
    <x:row r="1511">
      <x:c r="C1511" s="58"/>
    </x:row>
    <x:row r="1512">
      <x:c r="C1512" s="58"/>
    </x:row>
    <x:row r="1513">
      <x:c r="C1513" s="58"/>
    </x:row>
    <x:row r="1514">
      <x:c r="C1514" s="58"/>
    </x:row>
    <x:row r="1515">
      <x:c r="C1515" s="58"/>
    </x:row>
    <x:row r="1516">
      <x:c r="C1516" s="58"/>
    </x:row>
    <x:row r="1517">
      <x:c r="C1517" s="58"/>
    </x:row>
    <x:row r="1518">
      <x:c r="C1518" s="58"/>
    </x:row>
    <x:row r="1519">
      <x:c r="C1519" s="58"/>
    </x:row>
    <x:row r="1520">
      <x:c r="C1520" s="58"/>
    </x:row>
    <x:row r="1521">
      <x:c r="C1521" s="58"/>
    </x:row>
    <x:row r="1522">
      <x:c r="C1522" s="58"/>
    </x:row>
    <x:row r="1523">
      <x:c r="C1523" s="58"/>
    </x:row>
    <x:row r="1524">
      <x:c r="C1524" s="58"/>
    </x:row>
    <x:row r="1525">
      <x:c r="C1525" s="58"/>
    </x:row>
    <x:row r="1526">
      <x:c r="C1526" s="58"/>
    </x:row>
    <x:row r="1527">
      <x:c r="C1527" s="58"/>
    </x:row>
    <x:row r="1528">
      <x:c r="C1528" s="58"/>
    </x:row>
    <x:row r="1529">
      <x:c r="C1529" s="58"/>
    </x:row>
    <x:row r="1530">
      <x:c r="C1530" s="58"/>
    </x:row>
    <x:row r="1531">
      <x:c r="C1531" s="58"/>
    </x:row>
    <x:row r="1532">
      <x:c r="C1532" s="58"/>
    </x:row>
    <x:row r="1533">
      <x:c r="C1533" s="58"/>
    </x:row>
    <x:row r="1534">
      <x:c r="C1534" s="58"/>
    </x:row>
    <x:row r="1535">
      <x:c r="C1535" s="58"/>
    </x:row>
    <x:row r="1536">
      <x:c r="C1536" s="58"/>
    </x:row>
    <x:row r="1537">
      <x:c r="C1537" s="58"/>
    </x:row>
    <x:row r="1538">
      <x:c r="C1538" s="58"/>
    </x:row>
    <x:row r="1539">
      <x:c r="C1539" s="58"/>
    </x:row>
    <x:row r="1540">
      <x:c r="C1540" s="58"/>
    </x:row>
    <x:row r="1541">
      <x:c r="C1541" s="58"/>
    </x:row>
    <x:row r="1542">
      <x:c r="C1542" s="58"/>
    </x:row>
    <x:row r="1543">
      <x:c r="C1543" s="58"/>
    </x:row>
    <x:row r="1544">
      <x:c r="C1544" s="58"/>
    </x:row>
    <x:row r="1545">
      <x:c r="C1545" s="58"/>
    </x:row>
    <x:row r="1546">
      <x:c r="C1546" s="58"/>
    </x:row>
    <x:row r="1547">
      <x:c r="C1547" s="58"/>
    </x:row>
    <x:row r="1548">
      <x:c r="C1548" s="58"/>
    </x:row>
    <x:row r="1549">
      <x:c r="C1549" s="58"/>
    </x:row>
    <x:row r="1550">
      <x:c r="C1550" s="58"/>
    </x:row>
    <x:row r="1551">
      <x:c r="C1551" s="58"/>
    </x:row>
    <x:row r="1552">
      <x:c r="C1552" s="58"/>
    </x:row>
    <x:row r="1553">
      <x:c r="C1553" s="58"/>
    </x:row>
    <x:row r="1554">
      <x:c r="C1554" s="58"/>
    </x:row>
    <x:row r="1555">
      <x:c r="C1555" s="58"/>
    </x:row>
    <x:row r="1556">
      <x:c r="C1556" s="58"/>
    </x:row>
    <x:row r="1557">
      <x:c r="C1557" s="58"/>
    </x:row>
    <x:row r="1558">
      <x:c r="C1558" s="58"/>
    </x:row>
    <x:row r="1559">
      <x:c r="C1559" s="58"/>
    </x:row>
    <x:row r="1560">
      <x:c r="C1560" s="58"/>
    </x:row>
    <x:row r="1561">
      <x:c r="C1561" s="58"/>
    </x:row>
    <x:row r="1562">
      <x:c r="C1562" s="58"/>
    </x:row>
    <x:row r="1563">
      <x:c r="C1563" s="58"/>
    </x:row>
    <x:row r="1564">
      <x:c r="C1564" s="58"/>
    </x:row>
    <x:row r="1565">
      <x:c r="C1565" s="58"/>
    </x:row>
    <x:row r="1566">
      <x:c r="C1566" s="58"/>
    </x:row>
    <x:row r="1567">
      <x:c r="C1567" s="58"/>
    </x:row>
    <x:row r="1568">
      <x:c r="C1568" s="58"/>
    </x:row>
    <x:row r="1569">
      <x:c r="C1569" s="58"/>
    </x:row>
    <x:row r="1570">
      <x:c r="C1570" s="58"/>
    </x:row>
    <x:row r="1571">
      <x:c r="C1571" s="58"/>
    </x:row>
    <x:row r="1572">
      <x:c r="C1572" s="58"/>
    </x:row>
    <x:row r="1573">
      <x:c r="C1573" s="58"/>
    </x:row>
    <x:row r="1574">
      <x:c r="C1574" s="58"/>
    </x:row>
    <x:row r="1575">
      <x:c r="C1575" s="58"/>
    </x:row>
    <x:row r="1576">
      <x:c r="C1576" s="58"/>
    </x:row>
    <x:row r="1577">
      <x:c r="C1577" s="58"/>
    </x:row>
    <x:row r="1578">
      <x:c r="C1578" s="58"/>
    </x:row>
    <x:row r="1579">
      <x:c r="C1579" s="58"/>
    </x:row>
    <x:row r="1580">
      <x:c r="C1580" s="58"/>
    </x:row>
    <x:row r="1581">
      <x:c r="C1581" s="58"/>
    </x:row>
    <x:row r="1582">
      <x:c r="C1582" s="58"/>
    </x:row>
    <x:row r="1583">
      <x:c r="C1583" s="58"/>
    </x:row>
    <x:row r="1584">
      <x:c r="C1584" s="58"/>
    </x:row>
    <x:row r="1585">
      <x:c r="C1585" s="58"/>
    </x:row>
    <x:row r="1586">
      <x:c r="C1586" s="58"/>
    </x:row>
    <x:row r="1587">
      <x:c r="C1587" s="58"/>
    </x:row>
    <x:row r="1588">
      <x:c r="C1588" s="58"/>
    </x:row>
    <x:row r="1589">
      <x:c r="C1589" s="58"/>
    </x:row>
    <x:row r="1590">
      <x:c r="C1590" s="58"/>
    </x:row>
    <x:row r="1591">
      <x:c r="C1591" s="58"/>
    </x:row>
    <x:row r="1592">
      <x:c r="C1592" s="58"/>
    </x:row>
    <x:row r="1593">
      <x:c r="C1593" s="58"/>
    </x:row>
    <x:row r="1594">
      <x:c r="C1594" s="58"/>
    </x:row>
    <x:row r="1595">
      <x:c r="C1595" s="58"/>
    </x:row>
    <x:row r="1596">
      <x:c r="C1596" s="58"/>
    </x:row>
    <x:row r="1597">
      <x:c r="C1597" s="58"/>
    </x:row>
    <x:row r="1598">
      <x:c r="C1598" s="58"/>
    </x:row>
    <x:row r="1599">
      <x:c r="C1599" s="58"/>
    </x:row>
    <x:row r="1600">
      <x:c r="C1600" s="58"/>
    </x:row>
    <x:row r="1601">
      <x:c r="C1601" s="58"/>
    </x:row>
    <x:row r="1602">
      <x:c r="C1602" s="58"/>
    </x:row>
    <x:row r="1603">
      <x:c r="C1603" s="58"/>
    </x:row>
    <x:row r="1604">
      <x:c r="C1604" s="58"/>
    </x:row>
    <x:row r="1605">
      <x:c r="C1605" s="58"/>
    </x:row>
    <x:row r="1606">
      <x:c r="C1606" s="58"/>
    </x:row>
    <x:row r="1607">
      <x:c r="C1607" s="58"/>
    </x:row>
    <x:row r="1608">
      <x:c r="C1608" s="58"/>
    </x:row>
    <x:row r="1609">
      <x:c r="C1609" s="58"/>
    </x:row>
    <x:row r="1610">
      <x:c r="C1610" s="58"/>
    </x:row>
    <x:row r="1611">
      <x:c r="C1611" s="58"/>
    </x:row>
    <x:row r="1612">
      <x:c r="C1612" s="58"/>
    </x:row>
    <x:row r="1613">
      <x:c r="C1613" s="58"/>
    </x:row>
    <x:row r="1614">
      <x:c r="C1614" s="58"/>
    </x:row>
    <x:row r="1615">
      <x:c r="C1615" s="58"/>
    </x:row>
    <x:row r="1616">
      <x:c r="C1616" s="58"/>
    </x:row>
    <x:row r="1617">
      <x:c r="C1617" s="58"/>
    </x:row>
    <x:row r="1618">
      <x:c r="C1618" s="58"/>
    </x:row>
    <x:row r="1619">
      <x:c r="C1619" s="58"/>
    </x:row>
    <x:row r="1620">
      <x:c r="C1620" s="58"/>
    </x:row>
    <x:row r="1621">
      <x:c r="C1621" s="58"/>
    </x:row>
    <x:row r="1622">
      <x:c r="C1622" s="58"/>
    </x:row>
    <x:row r="1623">
      <x:c r="C1623" s="58"/>
    </x:row>
    <x:row r="1624">
      <x:c r="C1624" s="58"/>
    </x:row>
    <x:row r="1625">
      <x:c r="C1625" s="58"/>
    </x:row>
    <x:row r="1626">
      <x:c r="C1626" s="58"/>
    </x:row>
    <x:row r="1627">
      <x:c r="C1627" s="58"/>
    </x:row>
    <x:row r="1628">
      <x:c r="C1628" s="58"/>
    </x:row>
    <x:row r="1629">
      <x:c r="C1629" s="58"/>
    </x:row>
    <x:row r="1630">
      <x:c r="C1630" s="58"/>
    </x:row>
    <x:row r="1631">
      <x:c r="C1631" s="58"/>
    </x:row>
    <x:row r="1632">
      <x:c r="C1632" s="58"/>
    </x:row>
    <x:row r="1633">
      <x:c r="C1633" s="58"/>
    </x:row>
    <x:row r="1634">
      <x:c r="C1634" s="58"/>
    </x:row>
    <x:row r="1635">
      <x:c r="C1635" s="58"/>
    </x:row>
    <x:row r="1636">
      <x:c r="C1636" s="58"/>
    </x:row>
    <x:row r="1637">
      <x:c r="C1637" s="58"/>
    </x:row>
    <x:row r="1638">
      <x:c r="C1638" s="58"/>
    </x:row>
    <x:row r="1639">
      <x:c r="C1639" s="58"/>
    </x:row>
    <x:row r="1640">
      <x:c r="C1640" s="58"/>
    </x:row>
    <x:row r="1641">
      <x:c r="C1641" s="58"/>
    </x:row>
    <x:row r="1642">
      <x:c r="C1642" s="58"/>
    </x:row>
    <x:row r="1643">
      <x:c r="C1643" s="58"/>
    </x:row>
    <x:row r="1644">
      <x:c r="C1644" s="58"/>
    </x:row>
    <x:row r="1645">
      <x:c r="C1645" s="58"/>
    </x:row>
    <x:row r="1646">
      <x:c r="C1646" s="58"/>
    </x:row>
    <x:row r="1647">
      <x:c r="C1647" s="58"/>
    </x:row>
    <x:row r="1648">
      <x:c r="C1648" s="58"/>
    </x:row>
    <x:row r="1649">
      <x:c r="C1649" s="58"/>
    </x:row>
    <x:row r="1650">
      <x:c r="C1650" s="58"/>
    </x:row>
    <x:row r="1651">
      <x:c r="C1651" s="58"/>
    </x:row>
    <x:row r="1652">
      <x:c r="C1652" s="58"/>
    </x:row>
    <x:row r="1653">
      <x:c r="C1653" s="58"/>
    </x:row>
    <x:row r="1654">
      <x:c r="C1654" s="58"/>
    </x:row>
    <x:row r="1655">
      <x:c r="C1655" s="58"/>
    </x:row>
    <x:row r="1656">
      <x:c r="C1656" s="58"/>
    </x:row>
    <x:row r="1657">
      <x:c r="C1657" s="58"/>
    </x:row>
    <x:row r="1658">
      <x:c r="C1658" s="58"/>
    </x:row>
    <x:row r="1659">
      <x:c r="C1659" s="58"/>
    </x:row>
    <x:row r="1660">
      <x:c r="C1660" s="58"/>
    </x:row>
    <x:row r="1661">
      <x:c r="C1661" s="58"/>
    </x:row>
    <x:row r="1662">
      <x:c r="C1662" s="58"/>
    </x:row>
    <x:row r="1663">
      <x:c r="C1663" s="58"/>
    </x:row>
    <x:row r="1664">
      <x:c r="C1664" s="58"/>
    </x:row>
    <x:row r="1665">
      <x:c r="C1665" s="58"/>
    </x:row>
    <x:row r="1666">
      <x:c r="C1666" s="58"/>
    </x:row>
    <x:row r="1667">
      <x:c r="C1667" s="58"/>
    </x:row>
    <x:row r="1668">
      <x:c r="C1668" s="58"/>
    </x:row>
    <x:row r="1669">
      <x:c r="C1669" s="58"/>
    </x:row>
    <x:row r="1670">
      <x:c r="C1670" s="58"/>
    </x:row>
    <x:row r="1671">
      <x:c r="C1671" s="58"/>
    </x:row>
    <x:row r="1672">
      <x:c r="C1672" s="58"/>
    </x:row>
    <x:row r="1673">
      <x:c r="C1673" s="58"/>
    </x:row>
    <x:row r="1674">
      <x:c r="C1674" s="58"/>
    </x:row>
    <x:row r="1675">
      <x:c r="C1675" s="58"/>
    </x:row>
    <x:row r="1676">
      <x:c r="C1676" s="58"/>
    </x:row>
    <x:row r="1677">
      <x:c r="C1677" s="58"/>
    </x:row>
    <x:row r="1678">
      <x:c r="C1678" s="58"/>
    </x:row>
    <x:row r="1679">
      <x:c r="C1679" s="58"/>
    </x:row>
    <x:row r="1680">
      <x:c r="C1680" s="58"/>
    </x:row>
    <x:row r="1681">
      <x:c r="C1681" s="58"/>
    </x:row>
    <x:row r="1682">
      <x:c r="C1682" s="58"/>
    </x:row>
    <x:row r="1683">
      <x:c r="C1683" s="58"/>
    </x:row>
    <x:row r="1684">
      <x:c r="C1684" s="58"/>
    </x:row>
    <x:row r="1685">
      <x:c r="C1685" s="58"/>
    </x:row>
    <x:row r="1686">
      <x:c r="C1686" s="58"/>
    </x:row>
    <x:row r="1687">
      <x:c r="C1687" s="58"/>
    </x:row>
    <x:row r="1688">
      <x:c r="C1688" s="58"/>
    </x:row>
    <x:row r="1689">
      <x:c r="C1689" s="58"/>
    </x:row>
    <x:row r="1690">
      <x:c r="C1690" s="58"/>
    </x:row>
    <x:row r="1691">
      <x:c r="C1691" s="58"/>
    </x:row>
    <x:row r="1692">
      <x:c r="C1692" s="58"/>
    </x:row>
    <x:row r="1693">
      <x:c r="C1693" s="58"/>
    </x:row>
    <x:row r="1694">
      <x:c r="C1694" s="58"/>
    </x:row>
    <x:row r="1695">
      <x:c r="C1695" s="58"/>
    </x:row>
    <x:row r="1696">
      <x:c r="C1696" s="58"/>
    </x:row>
    <x:row r="1697">
      <x:c r="C1697" s="58"/>
    </x:row>
    <x:row r="1698">
      <x:c r="C1698" s="58"/>
    </x:row>
    <x:row r="1699">
      <x:c r="C1699" s="58"/>
    </x:row>
    <x:row r="1700">
      <x:c r="C1700" s="58"/>
    </x:row>
    <x:row r="1701">
      <x:c r="C1701" s="58"/>
    </x:row>
    <x:row r="1702">
      <x:c r="C1702" s="58"/>
    </x:row>
    <x:row r="1703">
      <x:c r="C1703" s="58"/>
    </x:row>
    <x:row r="1704">
      <x:c r="C1704" s="58"/>
    </x:row>
    <x:row r="1705">
      <x:c r="C1705" s="58"/>
    </x:row>
    <x:row r="1706">
      <x:c r="C1706" s="58"/>
    </x:row>
    <x:row r="1707">
      <x:c r="C1707" s="58"/>
    </x:row>
    <x:row r="1708">
      <x:c r="C1708" s="58"/>
    </x:row>
    <x:row r="1709">
      <x:c r="C1709" s="58"/>
    </x:row>
    <x:row r="1710">
      <x:c r="C1710" s="58"/>
    </x:row>
    <x:row r="1711">
      <x:c r="C1711" s="58"/>
    </x:row>
    <x:row r="1712">
      <x:c r="C1712" s="58"/>
    </x:row>
    <x:row r="1713">
      <x:c r="C1713" s="58"/>
    </x:row>
    <x:row r="1714">
      <x:c r="C1714" s="58"/>
    </x:row>
    <x:row r="1715">
      <x:c r="C1715" s="58"/>
    </x:row>
    <x:row r="1716">
      <x:c r="C1716" s="58"/>
    </x:row>
    <x:row r="1717">
      <x:c r="C1717" s="58"/>
    </x:row>
    <x:row r="1718">
      <x:c r="C1718" s="58"/>
    </x:row>
    <x:row r="1719">
      <x:c r="C1719" s="58"/>
    </x:row>
    <x:row r="1720">
      <x:c r="C1720" s="58"/>
    </x:row>
    <x:row r="1721">
      <x:c r="C1721" s="58"/>
    </x:row>
    <x:row r="1722">
      <x:c r="C1722" s="58"/>
    </x:row>
    <x:row r="1723">
      <x:c r="C1723" s="58"/>
    </x:row>
    <x:row r="1724">
      <x:c r="C1724" s="58"/>
    </x:row>
    <x:row r="1725">
      <x:c r="C1725" s="58"/>
    </x:row>
    <x:row r="1726">
      <x:c r="C1726" s="58"/>
    </x:row>
    <x:row r="1727">
      <x:c r="C1727" s="58"/>
    </x:row>
    <x:row r="1728">
      <x:c r="C1728" s="58"/>
    </x:row>
    <x:row r="1729">
      <x:c r="C1729" s="58"/>
    </x:row>
    <x:row r="1730">
      <x:c r="C1730" s="58"/>
    </x:row>
    <x:row r="1731">
      <x:c r="C1731" s="58"/>
    </x:row>
    <x:row r="1732">
      <x:c r="C1732" s="58"/>
    </x:row>
    <x:row r="1733">
      <x:c r="C1733" s="58"/>
    </x:row>
    <x:row r="1734">
      <x:c r="C1734" s="58"/>
    </x:row>
    <x:row r="1735">
      <x:c r="C1735" s="58"/>
    </x:row>
    <x:row r="1736">
      <x:c r="C1736" s="58"/>
    </x:row>
    <x:row r="1737">
      <x:c r="C1737" s="58"/>
    </x:row>
    <x:row r="1738">
      <x:c r="C1738" s="58"/>
    </x:row>
    <x:row r="1739">
      <x:c r="C1739" s="58"/>
    </x:row>
    <x:row r="1740">
      <x:c r="C1740" s="58"/>
    </x:row>
    <x:row r="1741">
      <x:c r="C1741" s="58"/>
    </x:row>
    <x:row r="1742">
      <x:c r="C1742" s="58"/>
    </x:row>
    <x:row r="1743">
      <x:c r="C1743" s="58"/>
    </x:row>
    <x:row r="1744">
      <x:c r="C1744" s="58"/>
    </x:row>
    <x:row r="1745">
      <x:c r="C1745" s="58"/>
    </x:row>
    <x:row r="1746">
      <x:c r="C1746" s="58"/>
    </x:row>
    <x:row r="1747">
      <x:c r="C1747" s="58"/>
    </x:row>
    <x:row r="1748">
      <x:c r="C1748" s="58"/>
    </x:row>
    <x:row r="1749">
      <x:c r="C1749" s="58"/>
    </x:row>
    <x:row r="1750">
      <x:c r="C1750" s="58"/>
    </x:row>
    <x:row r="1751">
      <x:c r="C1751" s="58"/>
    </x:row>
    <x:row r="1752">
      <x:c r="C1752" s="58"/>
    </x:row>
    <x:row r="1753">
      <x:c r="C1753" s="58"/>
    </x:row>
    <x:row r="1754">
      <x:c r="C1754" s="58"/>
    </x:row>
    <x:row r="1755">
      <x:c r="C1755" s="58"/>
    </x:row>
    <x:row r="1756">
      <x:c r="C1756" s="58"/>
    </x:row>
    <x:row r="1757">
      <x:c r="C1757" s="58"/>
    </x:row>
    <x:row r="1758">
      <x:c r="C1758" s="58"/>
    </x:row>
    <x:row r="1759">
      <x:c r="C1759" s="58"/>
    </x:row>
    <x:row r="1760">
      <x:c r="C1760" s="58"/>
    </x:row>
    <x:row r="1761">
      <x:c r="C1761" s="58"/>
    </x:row>
    <x:row r="1762">
      <x:c r="C1762" s="58"/>
    </x:row>
    <x:row r="1763">
      <x:c r="C1763" s="58"/>
    </x:row>
    <x:row r="1764">
      <x:c r="C1764" s="58"/>
    </x:row>
    <x:row r="1765">
      <x:c r="C1765" s="58"/>
    </x:row>
    <x:row r="1766">
      <x:c r="C1766" s="58"/>
    </x:row>
    <x:row r="1767">
      <x:c r="C1767" s="58"/>
    </x:row>
    <x:row r="1768">
      <x:c r="C1768" s="58"/>
    </x:row>
    <x:row r="1769">
      <x:c r="C1769" s="58"/>
    </x:row>
    <x:row r="1770">
      <x:c r="C1770" s="58"/>
    </x:row>
    <x:row r="1771">
      <x:c r="C1771" s="58"/>
    </x:row>
    <x:row r="1772">
      <x:c r="C1772" s="58"/>
    </x:row>
    <x:row r="1773">
      <x:c r="C1773" s="58"/>
    </x:row>
    <x:row r="1774">
      <x:c r="C1774" s="58"/>
    </x:row>
    <x:row r="1775">
      <x:c r="C1775" s="58"/>
    </x:row>
    <x:row r="1776">
      <x:c r="C1776" s="58"/>
    </x:row>
    <x:row r="1777">
      <x:c r="C1777" s="58"/>
    </x:row>
    <x:row r="1778">
      <x:c r="C1778" s="58"/>
    </x:row>
    <x:row r="1779">
      <x:c r="C1779" s="58"/>
    </x:row>
    <x:row r="1780">
      <x:c r="C1780" s="58"/>
    </x:row>
    <x:row r="1781">
      <x:c r="C1781" s="58"/>
    </x:row>
    <x:row r="1782">
      <x:c r="C1782" s="58"/>
    </x:row>
    <x:row r="1783">
      <x:c r="C1783" s="58"/>
    </x:row>
    <x:row r="1784">
      <x:c r="C1784" s="58"/>
    </x:row>
    <x:row r="1785">
      <x:c r="C1785" s="58"/>
    </x:row>
    <x:row r="1786">
      <x:c r="C1786" s="58"/>
    </x:row>
    <x:row r="1787">
      <x:c r="C1787" s="58"/>
    </x:row>
    <x:row r="1788">
      <x:c r="C1788" s="58"/>
    </x:row>
    <x:row r="1789">
      <x:c r="C1789" s="58"/>
    </x:row>
    <x:row r="1790">
      <x:c r="C1790" s="58"/>
    </x:row>
    <x:row r="1791">
      <x:c r="C1791" s="58"/>
    </x:row>
    <x:row r="1792">
      <x:c r="C1792" s="58"/>
    </x:row>
    <x:row r="1793">
      <x:c r="C1793" s="58"/>
    </x:row>
    <x:row r="1794">
      <x:c r="C1794" s="58"/>
    </x:row>
    <x:row r="1795">
      <x:c r="C1795" s="58"/>
    </x:row>
    <x:row r="1796">
      <x:c r="C1796" s="58"/>
    </x:row>
    <x:row r="1797">
      <x:c r="C1797" s="58"/>
    </x:row>
    <x:row r="1798">
      <x:c r="C1798" s="58"/>
    </x:row>
    <x:row r="1799">
      <x:c r="C1799" s="58"/>
    </x:row>
    <x:row r="1800">
      <x:c r="C1800" s="58"/>
    </x:row>
    <x:row r="1801">
      <x:c r="C1801" s="58"/>
    </x:row>
    <x:row r="1802">
      <x:c r="C1802" s="58"/>
    </x:row>
    <x:row r="1803">
      <x:c r="C1803" s="58"/>
    </x:row>
    <x:row r="1804">
      <x:c r="C1804" s="58"/>
    </x:row>
    <x:row r="1805">
      <x:c r="C1805" s="58"/>
    </x:row>
    <x:row r="1806">
      <x:c r="C1806" s="58"/>
    </x:row>
    <x:row r="1807">
      <x:c r="C1807" s="58"/>
    </x:row>
    <x:row r="1808">
      <x:c r="C1808" s="58"/>
    </x:row>
    <x:row r="1809">
      <x:c r="C1809" s="58"/>
    </x:row>
    <x:row r="1810">
      <x:c r="C1810" s="58"/>
    </x:row>
    <x:row r="1811">
      <x:c r="C1811" s="58"/>
    </x:row>
    <x:row r="1812">
      <x:c r="C1812" s="58"/>
    </x:row>
    <x:row r="1813">
      <x:c r="C1813" s="58"/>
    </x:row>
    <x:row r="1814">
      <x:c r="C1814" s="58"/>
    </x:row>
    <x:row r="1815">
      <x:c r="C1815" s="58"/>
    </x:row>
    <x:row r="1816">
      <x:c r="C1816" s="58"/>
    </x:row>
    <x:row r="1817">
      <x:c r="C1817" s="58"/>
    </x:row>
    <x:row r="1818">
      <x:c r="C1818" s="58"/>
    </x:row>
    <x:row r="1819">
      <x:c r="C1819" s="58"/>
    </x:row>
    <x:row r="1820">
      <x:c r="C1820" s="58"/>
    </x:row>
    <x:row r="1821">
      <x:c r="C1821" s="58"/>
    </x:row>
    <x:row r="1822">
      <x:c r="C1822" s="58"/>
    </x:row>
    <x:row r="1823">
      <x:c r="C1823" s="58"/>
    </x:row>
    <x:row r="1824">
      <x:c r="C1824" s="58"/>
    </x:row>
    <x:row r="1825">
      <x:c r="C1825" s="58"/>
    </x:row>
    <x:row r="1826">
      <x:c r="C1826" s="58"/>
    </x:row>
    <x:row r="1827">
      <x:c r="C1827" s="58"/>
    </x:row>
    <x:row r="1828">
      <x:c r="C1828" s="58"/>
    </x:row>
    <x:row r="1829">
      <x:c r="C1829" s="58"/>
    </x:row>
    <x:row r="1830">
      <x:c r="C1830" s="58"/>
    </x:row>
    <x:row r="1831">
      <x:c r="C1831" s="58"/>
    </x:row>
    <x:row r="1832">
      <x:c r="C1832" s="58"/>
    </x:row>
    <x:row r="1833">
      <x:c r="C1833" s="58"/>
    </x:row>
    <x:row r="1834">
      <x:c r="C1834" s="58"/>
    </x:row>
    <x:row r="1835">
      <x:c r="C1835" s="58"/>
    </x:row>
    <x:row r="1836">
      <x:c r="C1836" s="58"/>
    </x:row>
    <x:row r="1837">
      <x:c r="C1837" s="58"/>
    </x:row>
    <x:row r="1838">
      <x:c r="C1838" s="58"/>
    </x:row>
    <x:row r="1839">
      <x:c r="C1839" s="58"/>
    </x:row>
    <x:row r="1840">
      <x:c r="C1840" s="58"/>
    </x:row>
    <x:row r="1841">
      <x:c r="C1841" s="58"/>
    </x:row>
    <x:row r="1842">
      <x:c r="C1842" s="58"/>
    </x:row>
    <x:row r="1843">
      <x:c r="C1843" s="58"/>
    </x:row>
    <x:row r="1844">
      <x:c r="C1844" s="58"/>
    </x:row>
    <x:row r="1845">
      <x:c r="C1845" s="58"/>
    </x:row>
    <x:row r="1846">
      <x:c r="C1846" s="58"/>
    </x:row>
    <x:row r="1847">
      <x:c r="C1847" s="58"/>
    </x:row>
    <x:row r="1848">
      <x:c r="C1848" s="58"/>
    </x:row>
    <x:row r="1849">
      <x:c r="C1849" s="58"/>
    </x:row>
    <x:row r="1850">
      <x:c r="C1850" s="58"/>
    </x:row>
    <x:row r="1851">
      <x:c r="C1851" s="58"/>
    </x:row>
    <x:row r="1852">
      <x:c r="C1852" s="58"/>
    </x:row>
    <x:row r="1853">
      <x:c r="C1853" s="58"/>
    </x:row>
    <x:row r="1854">
      <x:c r="C1854" s="58"/>
    </x:row>
    <x:row r="1855">
      <x:c r="C1855" s="58"/>
    </x:row>
    <x:row r="1856">
      <x:c r="C1856" s="58"/>
    </x:row>
    <x:row r="1857">
      <x:c r="C1857" s="58"/>
    </x:row>
    <x:row r="1858">
      <x:c r="C1858" s="58"/>
    </x:row>
    <x:row r="1859">
      <x:c r="C1859" s="58"/>
    </x:row>
    <x:row r="1860">
      <x:c r="C1860" s="58"/>
    </x:row>
    <x:row r="1861">
      <x:c r="C1861" s="58"/>
    </x:row>
    <x:row r="1862">
      <x:c r="C1862" s="58"/>
    </x:row>
    <x:row r="1863">
      <x:c r="C1863" s="58"/>
    </x:row>
    <x:row r="1864">
      <x:c r="C1864" s="58"/>
    </x:row>
    <x:row r="1865">
      <x:c r="C1865" s="58"/>
    </x:row>
    <x:row r="1866">
      <x:c r="C1866" s="58"/>
    </x:row>
    <x:row r="1867">
      <x:c r="C1867" s="58"/>
    </x:row>
    <x:row r="1868">
      <x:c r="C1868" s="58"/>
    </x:row>
    <x:row r="1869">
      <x:c r="C1869" s="58"/>
    </x:row>
    <x:row r="1870">
      <x:c r="C1870" s="58"/>
    </x:row>
    <x:row r="1871">
      <x:c r="C1871" s="58"/>
    </x:row>
    <x:row r="1872">
      <x:c r="C1872" s="58"/>
    </x:row>
    <x:row r="1873">
      <x:c r="C1873" s="58"/>
    </x:row>
    <x:row r="1874">
      <x:c r="C1874" s="58"/>
    </x:row>
    <x:row r="1875">
      <x:c r="C1875" s="58"/>
    </x:row>
    <x:row r="1876">
      <x:c r="C1876" s="58"/>
    </x:row>
    <x:row r="1877">
      <x:c r="C1877" s="58"/>
    </x:row>
    <x:row r="1878">
      <x:c r="C1878" s="58"/>
    </x:row>
    <x:row r="1879">
      <x:c r="C1879" s="58"/>
    </x:row>
    <x:row r="1880">
      <x:c r="C1880" s="58"/>
    </x:row>
    <x:row r="1881">
      <x:c r="C1881" s="58"/>
    </x:row>
    <x:row r="1882">
      <x:c r="C1882" s="58"/>
    </x:row>
    <x:row r="1883">
      <x:c r="C1883" s="58"/>
    </x:row>
    <x:row r="1884">
      <x:c r="C1884" s="58"/>
    </x:row>
    <x:row r="1885">
      <x:c r="C1885" s="58"/>
    </x:row>
    <x:row r="1886">
      <x:c r="C1886" s="58"/>
    </x:row>
    <x:row r="1887">
      <x:c r="C1887" s="58"/>
    </x:row>
    <x:row r="1888">
      <x:c r="C1888" s="58"/>
    </x:row>
    <x:row r="1889">
      <x:c r="C1889" s="58"/>
    </x:row>
    <x:row r="1890">
      <x:c r="C1890" s="58"/>
    </x:row>
    <x:row r="1891">
      <x:c r="C1891" s="58"/>
    </x:row>
    <x:row r="1892">
      <x:c r="C1892" s="58"/>
    </x:row>
    <x:row r="1893">
      <x:c r="C1893" s="58"/>
    </x:row>
    <x:row r="1894">
      <x:c r="C1894" s="58"/>
    </x:row>
    <x:row r="1895">
      <x:c r="C1895" s="58"/>
    </x:row>
    <x:row r="1896">
      <x:c r="C1896" s="58"/>
    </x:row>
    <x:row r="1897">
      <x:c r="C1897" s="58"/>
    </x:row>
    <x:row r="1898">
      <x:c r="C1898" s="58"/>
    </x:row>
    <x:row r="1899">
      <x:c r="C1899" s="58"/>
    </x:row>
    <x:row r="1900">
      <x:c r="C1900" s="58"/>
    </x:row>
    <x:row r="1901">
      <x:c r="C1901" s="58"/>
    </x:row>
    <x:row r="1902">
      <x:c r="C1902" s="58"/>
    </x:row>
    <x:row r="1903">
      <x:c r="C1903" s="58"/>
    </x:row>
    <x:row r="1904">
      <x:c r="C1904" s="58"/>
    </x:row>
    <x:row r="1905">
      <x:c r="C1905" s="58"/>
    </x:row>
    <x:row r="1906">
      <x:c r="C1906" s="58"/>
    </x:row>
    <x:row r="1907">
      <x:c r="C1907" s="58"/>
    </x:row>
    <x:row r="1908">
      <x:c r="C1908" s="58"/>
    </x:row>
    <x:row r="1909">
      <x:c r="C1909" s="58"/>
    </x:row>
    <x:row r="1910">
      <x:c r="C1910" s="58"/>
    </x:row>
    <x:row r="1911">
      <x:c r="C1911" s="58"/>
    </x:row>
    <x:row r="1912">
      <x:c r="C1912" s="58"/>
    </x:row>
    <x:row r="1913">
      <x:c r="C1913" s="58"/>
    </x:row>
    <x:row r="1914">
      <x:c r="C1914" s="58"/>
    </x:row>
    <x:row r="1915">
      <x:c r="C1915" s="58"/>
    </x:row>
    <x:row r="1916">
      <x:c r="C1916" s="58"/>
    </x:row>
    <x:row r="1917">
      <x:c r="C1917" s="58"/>
    </x:row>
    <x:row r="1918">
      <x:c r="C1918" s="58"/>
    </x:row>
    <x:row r="1919">
      <x:c r="C1919" s="58"/>
    </x:row>
    <x:row r="1920">
      <x:c r="C1920" s="58"/>
    </x:row>
    <x:row r="1921">
      <x:c r="C1921" s="58"/>
    </x:row>
    <x:row r="1922">
      <x:c r="C1922" s="58"/>
    </x:row>
    <x:row r="1923">
      <x:c r="C1923" s="58"/>
    </x:row>
    <x:row r="1924">
      <x:c r="C1924" s="58"/>
    </x:row>
    <x:row r="1925">
      <x:c r="C1925" s="58"/>
    </x:row>
    <x:row r="1926">
      <x:c r="C1926" s="58"/>
    </x:row>
    <x:row r="1927">
      <x:c r="C1927" s="58"/>
    </x:row>
    <x:row r="1928">
      <x:c r="C1928" s="58"/>
    </x:row>
    <x:row r="1929">
      <x:c r="C1929" s="58"/>
    </x:row>
    <x:row r="1930">
      <x:c r="C1930" s="58"/>
    </x:row>
    <x:row r="1931">
      <x:c r="C1931" s="58"/>
    </x:row>
    <x:row r="1932">
      <x:c r="C1932" s="58"/>
    </x:row>
    <x:row r="1933">
      <x:c r="C1933" s="58"/>
    </x:row>
    <x:row r="1934">
      <x:c r="C1934" s="58"/>
    </x:row>
    <x:row r="1935">
      <x:c r="C1935" s="58"/>
    </x:row>
    <x:row r="1936">
      <x:c r="C1936" s="58"/>
    </x:row>
    <x:row r="1937">
      <x:c r="C1937" s="58"/>
    </x:row>
    <x:row r="1938">
      <x:c r="C1938" s="58"/>
    </x:row>
    <x:row r="1939">
      <x:c r="C1939" s="58"/>
    </x:row>
    <x:row r="1940">
      <x:c r="C1940" s="58"/>
    </x:row>
    <x:row r="1941">
      <x:c r="C1941" s="58"/>
    </x:row>
    <x:row r="1942">
      <x:c r="C1942" s="58"/>
    </x:row>
    <x:row r="1943">
      <x:c r="C1943" s="58"/>
    </x:row>
    <x:row r="1944">
      <x:c r="C1944" s="58"/>
    </x:row>
    <x:row r="1945">
      <x:c r="C1945" s="58"/>
    </x:row>
    <x:row r="1946">
      <x:c r="C1946" s="58"/>
    </x:row>
    <x:row r="1947">
      <x:c r="C1947" s="58"/>
    </x:row>
    <x:row r="1948">
      <x:c r="C1948" s="58"/>
    </x:row>
    <x:row r="1949">
      <x:c r="C1949" s="58"/>
    </x:row>
    <x:row r="1950">
      <x:c r="C1950" s="58"/>
    </x:row>
    <x:row r="1951">
      <x:c r="C1951" s="58"/>
    </x:row>
    <x:row r="1952">
      <x:c r="C1952" s="58"/>
    </x:row>
    <x:row r="1953">
      <x:c r="C1953" s="58"/>
    </x:row>
    <x:row r="1954">
      <x:c r="C1954" s="58"/>
    </x:row>
    <x:row r="1955">
      <x:c r="C1955" s="58"/>
    </x:row>
    <x:row r="1956">
      <x:c r="C1956" s="58"/>
    </x:row>
    <x:row r="1957">
      <x:c r="C1957" s="58"/>
    </x:row>
    <x:row r="1958">
      <x:c r="C1958" s="58"/>
    </x:row>
    <x:row r="1959">
      <x:c r="C1959" s="58"/>
    </x:row>
    <x:row r="1960">
      <x:c r="C1960" s="58"/>
    </x:row>
    <x:row r="1961">
      <x:c r="C1961" s="58"/>
    </x:row>
    <x:row r="1962">
      <x:c r="C1962" s="58"/>
    </x:row>
    <x:row r="1963">
      <x:c r="C1963" s="58"/>
    </x:row>
    <x:row r="1964">
      <x:c r="C1964" s="58"/>
    </x:row>
    <x:row r="1965">
      <x:c r="C1965" s="58"/>
    </x:row>
    <x:row r="1966">
      <x:c r="C1966" s="58"/>
    </x:row>
    <x:row r="1967">
      <x:c r="C1967" s="58"/>
    </x:row>
    <x:row r="1968">
      <x:c r="C1968" s="58"/>
    </x:row>
    <x:row r="1969">
      <x:c r="C1969" s="58"/>
    </x:row>
    <x:row r="1970">
      <x:c r="C1970" s="58"/>
    </x:row>
    <x:row r="1971">
      <x:c r="C1971" s="58"/>
    </x:row>
    <x:row r="1972">
      <x:c r="C1972" s="58"/>
    </x:row>
    <x:row r="1973">
      <x:c r="C1973" s="58"/>
    </x:row>
    <x:row r="1974">
      <x:c r="C1974" s="58"/>
    </x:row>
    <x:row r="1975">
      <x:c r="C1975" s="58"/>
    </x:row>
    <x:row r="1976">
      <x:c r="C1976" s="58"/>
    </x:row>
    <x:row r="1977">
      <x:c r="C1977" s="58"/>
    </x:row>
    <x:row r="1978">
      <x:c r="C1978" s="58"/>
    </x:row>
    <x:row r="1979">
      <x:c r="C1979" s="58"/>
    </x:row>
    <x:row r="1980">
      <x:c r="C1980" s="58"/>
    </x:row>
    <x:row r="1981">
      <x:c r="C1981" s="58"/>
    </x:row>
    <x:row r="1982">
      <x:c r="C1982" s="58"/>
    </x:row>
    <x:row r="1983">
      <x:c r="C1983" s="58"/>
    </x:row>
    <x:row r="1984">
      <x:c r="C1984" s="58"/>
    </x:row>
    <x:row r="1985">
      <x:c r="C1985" s="58"/>
    </x:row>
    <x:row r="1986">
      <x:c r="C1986" s="58"/>
    </x:row>
    <x:row r="1987">
      <x:c r="C1987" s="58"/>
    </x:row>
    <x:row r="1988">
      <x:c r="C1988" s="58"/>
    </x:row>
    <x:row r="1989">
      <x:c r="C1989" s="58"/>
    </x:row>
    <x:row r="1990">
      <x:c r="C1990" s="58"/>
    </x:row>
    <x:row r="1991">
      <x:c r="C1991" s="58"/>
    </x:row>
    <x:row r="1992">
      <x:c r="C1992" s="58"/>
    </x:row>
    <x:row r="1993">
      <x:c r="C1993" s="58"/>
    </x:row>
    <x:row r="1994">
      <x:c r="C1994" s="58"/>
    </x:row>
    <x:row r="1995">
      <x:c r="C1995" s="58"/>
    </x:row>
    <x:row r="1996">
      <x:c r="C1996" s="58"/>
    </x:row>
    <x:row r="1997">
      <x:c r="C1997" s="58"/>
    </x:row>
    <x:row r="1998">
      <x:c r="C1998" s="58"/>
    </x:row>
    <x:row r="1999">
      <x:c r="C1999" s="58"/>
    </x:row>
    <x:row r="2000">
      <x:c r="C2000" s="58"/>
    </x:row>
  </x:sheetData>
  <x:mergeCells>
    <x:mergeCell ref="A1:J1"/>
    <x:mergeCell ref="A2:J2"/>
  </x:mergeCells>
  <x:dataValidations count="2">
    <x:dataValidation type="list" sqref="E5:E2000">
      <x:formula1>LISTAS!$D$5:$D$8</x:formula1>
    </x:dataValidation>
    <x:dataValidation type="list" sqref="H5:H2000">
      <x:formula1>"ABIERTA,EN_REVISION,CERRADA"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76335c45c54a9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24" hidden="0" customWidth="1"/>
    <x:col min="5" max="5" width="36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46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5" t="str">
        <x:v>Dashboard operativo — Barranca Móvil</x:v>
      </x:c>
    </x:row>
    <x:row r="2" ht="22" customHeight="1">
      <x:c r="A2" s="13" t="str">
        <x:v>Resumen en tiempo real alimentado por Google Sheets / Apps Script.</x:v>
      </x:c>
    </x:row>
    <x:row r="4">
      <x:c r="A4" s="21" t="str">
        <x:v>Servicios hoy</x:v>
      </x:c>
      <x:c r="B4" s="21" t="str">
        <x:v>Pendientes</x:v>
      </x:c>
      <x:c r="C4" s="21" t="str">
        <x:v>Asignados</x:v>
      </x:c>
      <x:c r="D4" s="21" t="str">
        <x:v>Alertas abiertas</x:v>
      </x:c>
    </x:row>
    <x:row r="5" ht="36" customHeight="1">
      <x:c r="A5" s="93" t="n">
        <x:f>COUNTIF(SERVICIOS!B:B,TODAY())</x:f>
        <x:v>0</x:v>
      </x:c>
      <x:c r="B5" s="93" t="n">
        <x:f>COUNTIF(SERVICIOS!D:D,"PENDIENTE_CONDUCTOR")</x:f>
        <x:v>1</x:v>
      </x:c>
      <x:c r="C5" s="93" t="n">
        <x:f>COUNTIF(SERVICIOS!D:D,"ASIGNADO")</x:f>
        <x:v>1</x:v>
      </x:c>
      <x:c r="D5" s="93" t="n">
        <x:f>COUNTIF(ALERTAS!H:H,"ABIERTA")</x:f>
        <x:v>3</x:v>
      </x:c>
    </x:row>
    <x:row r="8">
      <x:c r="A8" s="40" t="str">
        <x:v>Estado</x:v>
      </x:c>
      <x:c r="B8" s="40" t="str">
        <x:v>Cantidad</x:v>
      </x:c>
      <x:c r="D8" s="30" t="str">
        <x:v>Tipo</x:v>
      </x:c>
      <x:c r="E8" s="30" t="str">
        <x:v>Cantidad</x:v>
      </x:c>
      <x:c r="G8" s="84" t="str">
        <x:v>ID</x:v>
      </x:c>
      <x:c r="H8" s="84" t="str">
        <x:v>Servicio</x:v>
      </x:c>
      <x:c r="I8" s="84" t="str">
        <x:v>Prioridad</x:v>
      </x:c>
      <x:c r="J8" s="84" t="str">
        <x:v>Descripción</x:v>
      </x:c>
    </x:row>
    <x:row r="9">
      <x:c r="A9" t="str">
        <x:v>PENDIENTE_CONDUCTOR</x:v>
      </x:c>
      <x:c r="B9" t="n">
        <x:f>COUNTIF(SERVICIOS!D:D,A9)</x:f>
        <x:v>1</x:v>
      </x:c>
      <x:c r="D9" t="str">
        <x:v>TAXI</x:v>
      </x:c>
      <x:c r="E9" t="n">
        <x:f>COUNTIF(SERVICIOS!E:E,D9)</x:f>
        <x:v>0</x:v>
      </x:c>
      <x:c r="G9" t="str">
        <x:f>IFERROR(INDEX(FILTER(ALERTAS!A:A,ALERTAS!H:H="ABIERTA"),ROW(A1)),"")</x:f>
      </x:c>
      <x:c r="H9" t="str">
        <x:f>IFERROR(INDEX(FILTER(ALERTAS!B:B,ALERTAS!H:H="ABIERTA"),ROW(A1)),"")</x:f>
      </x:c>
      <x:c r="I9" t="str">
        <x:f>IFERROR(INDEX(FILTER(ALERTAS!E:E,ALERTAS!H:H="ABIERTA"),ROW(A1)),"")</x:f>
      </x:c>
      <x:c r="J9" t="str">
        <x:f>IFERROR(INDEX(FILTER(ALERTAS!F:F,ALERTAS!H:H="ABIERTA"),ROW(A1)),"")</x:f>
      </x:c>
    </x:row>
    <x:row r="10">
      <x:c r="A10" t="str">
        <x:v>ASIGNADO</x:v>
      </x:c>
      <x:c r="B10" t="n">
        <x:f>COUNTIF(SERVICIOS!D:D,A10)</x:f>
        <x:v>1</x:v>
      </x:c>
      <x:c r="D10" t="str">
        <x:v>COLECTIVO</x:v>
      </x:c>
      <x:c r="E10" t="n">
        <x:f>COUNTIF(SERVICIOS!E:E,D10)</x:f>
        <x:v>1</x:v>
      </x:c>
      <x:c r="G10" t="str">
        <x:f>IFERROR(INDEX(FILTER(ALERTAS!A:A,ALERTAS!H:H="ABIERTA"),ROW(A1)),"")</x:f>
      </x:c>
      <x:c r="H10" t="str">
        <x:f>IFERROR(INDEX(FILTER(ALERTAS!B:B,ALERTAS!H:H="ABIERTA"),ROW(A1)),"")</x:f>
      </x:c>
      <x:c r="I10" t="str">
        <x:f>IFERROR(INDEX(FILTER(ALERTAS!E:E,ALERTAS!H:H="ABIERTA"),ROW(A1)),"")</x:f>
      </x:c>
      <x:c r="J10" t="str">
        <x:f>IFERROR(INDEX(FILTER(ALERTAS!F:F,ALERTAS!H:H="ABIERTA"),ROW(A1)),"")</x:f>
      </x:c>
    </x:row>
    <x:row r="11">
      <x:c r="A11" t="str">
        <x:v>EN_CURSO</x:v>
      </x:c>
      <x:c r="B11" t="n">
        <x:f>COUNTIF(SERVICIOS!D:D,A11)</x:f>
        <x:v>0</x:v>
      </x:c>
      <x:c r="D11" t="str">
        <x:v>ENCOMIENDA</x:v>
      </x:c>
      <x:c r="E11" t="n">
        <x:f>COUNTIF(SERVICIOS!E:E,D11)</x:f>
        <x:v>1</x:v>
      </x:c>
      <x:c r="G11" t="str">
        <x:f>IFERROR(INDEX(FILTER(ALERTAS!A:A,ALERTAS!H:H="ABIERTA"),ROW(A1)),"")</x:f>
      </x:c>
      <x:c r="H11" t="str">
        <x:f>IFERROR(INDEX(FILTER(ALERTAS!B:B,ALERTAS!H:H="ABIERTA"),ROW(A1)),"")</x:f>
      </x:c>
      <x:c r="I11" t="str">
        <x:f>IFERROR(INDEX(FILTER(ALERTAS!E:E,ALERTAS!H:H="ABIERTA"),ROW(A1)),"")</x:f>
      </x:c>
      <x:c r="J11" t="str">
        <x:f>IFERROR(INDEX(FILTER(ALERTAS!F:F,ALERTAS!H:H="ABIERTA"),ROW(A1)),"")</x:f>
      </x:c>
    </x:row>
    <x:row r="12">
      <x:c r="A12" t="str">
        <x:v>OBSERVADO</x:v>
      </x:c>
      <x:c r="B12" t="n">
        <x:f>COUNTIF(SERVICIOS!D:D,A12)</x:f>
        <x:v>0</x:v>
      </x:c>
      <x:c r="D12" t="str">
        <x:v>TURISMO</x:v>
      </x:c>
      <x:c r="E12" t="n">
        <x:f>COUNTIF(SERVICIOS!E:E,D12)</x:f>
        <x:v>1</x:v>
      </x:c>
      <x:c r="G12" t="str">
        <x:f>IFERROR(INDEX(FILTER(ALERTAS!A:A,ALERTAS!H:H="ABIERTA"),ROW(A1)),"")</x:f>
      </x:c>
      <x:c r="H12" t="str">
        <x:f>IFERROR(INDEX(FILTER(ALERTAS!B:B,ALERTAS!H:H="ABIERTA"),ROW(A1)),"")</x:f>
      </x:c>
      <x:c r="I12" t="str">
        <x:f>IFERROR(INDEX(FILTER(ALERTAS!E:E,ALERTAS!H:H="ABIERTA"),ROW(A1)),"")</x:f>
      </x:c>
      <x:c r="J12" t="str">
        <x:f>IFERROR(INDEX(FILTER(ALERTAS!F:F,ALERTAS!H:H="ABIERTA"),ROW(A1)),"")</x:f>
      </x:c>
    </x:row>
    <x:row r="13">
      <x:c r="A13" t="str">
        <x:v>FINALIZADO</x:v>
      </x:c>
      <x:c r="B13" t="n">
        <x:f>COUNTIF(SERVICIOS!D:D,A13)</x:f>
        <x:v>1</x:v>
      </x:c>
      <x:c r="G13" t="str">
        <x:f>IFERROR(INDEX(FILTER(ALERTAS!A:A,ALERTAS!H:H="ABIERTA"),ROW(A1)),"")</x:f>
      </x:c>
      <x:c r="H13" t="str">
        <x:f>IFERROR(INDEX(FILTER(ALERTAS!B:B,ALERTAS!H:H="ABIERTA"),ROW(A1)),"")</x:f>
      </x:c>
      <x:c r="I13" t="str">
        <x:f>IFERROR(INDEX(FILTER(ALERTAS!E:E,ALERTAS!H:H="ABIERTA"),ROW(A1)),"")</x:f>
      </x:c>
      <x:c r="J13" t="str">
        <x:f>IFERROR(INDEX(FILTER(ALERTAS!F:F,ALERTAS!H:H="ABIERTA"),ROW(A1)),"")</x:f>
      </x:c>
    </x:row>
    <x:row r="14">
      <x:c r="A14" t="str">
        <x:v>CANCELADO</x:v>
      </x:c>
      <x:c r="B14" t="n">
        <x:f>COUNTIF(SERVICIOS!D:D,A14)</x:f>
        <x:v>0</x:v>
      </x:c>
      <x:c r="G14" t="str">
        <x:f>IFERROR(INDEX(FILTER(ALERTAS!A:A,ALERTAS!H:H="ABIERTA"),ROW(A1)),"")</x:f>
      </x:c>
      <x:c r="H14" t="str">
        <x:f>IFERROR(INDEX(FILTER(ALERTAS!B:B,ALERTAS!H:H="ABIERTA"),ROW(A1)),"")</x:f>
      </x:c>
      <x:c r="I14" t="str">
        <x:f>IFERROR(INDEX(FILTER(ALERTAS!E:E,ALERTAS!H:H="ABIERTA"),ROW(A1)),"")</x:f>
      </x:c>
      <x:c r="J14" t="str">
        <x:f>IFERROR(INDEX(FILTER(ALERTAS!F:F,ALERTAS!H:H="ABIERTA"),ROW(A1)),"")</x:f>
      </x:c>
    </x:row>
    <x:row r="15">
      <x:c r="A15" t="str">
        <x:v>SIN_CONDUCTOR</x:v>
      </x:c>
      <x:c r="B15" t="n">
        <x:f>COUNTIF(SERVICIOS!D:D,A15)</x:f>
        <x:v>0</x:v>
      </x:c>
      <x:c r="G15" t="str">
        <x:f>IFERROR(INDEX(FILTER(ALERTAS!A:A,ALERTAS!H:H="ABIERTA"),ROW(A1)),"")</x:f>
      </x:c>
      <x:c r="H15" t="str">
        <x:f>IFERROR(INDEX(FILTER(ALERTAS!B:B,ALERTAS!H:H="ABIERTA"),ROW(A1)),"")</x:f>
      </x:c>
      <x:c r="I15" t="str">
        <x:f>IFERROR(INDEX(FILTER(ALERTAS!E:E,ALERTAS!H:H="ABIERTA"),ROW(A1)),"")</x:f>
      </x:c>
      <x:c r="J15" t="str">
        <x:f>IFERROR(INDEX(FILTER(ALERTAS!F:F,ALERTAS!H:H="ABIERTA"),ROW(A1)),"")</x:f>
      </x:c>
    </x:row>
    <x:row r="16">
      <x:c r="G16" t="str">
        <x:f>IFERROR(INDEX(FILTER(ALERTAS!A:A,ALERTAS!H:H="ABIERTA"),ROW(A1)),"")</x:f>
      </x:c>
      <x:c r="H16" t="str">
        <x:f>IFERROR(INDEX(FILTER(ALERTAS!B:B,ALERTAS!H:H="ABIERTA"),ROW(A1)),"")</x:f>
      </x:c>
      <x:c r="I16" t="str">
        <x:f>IFERROR(INDEX(FILTER(ALERTAS!E:E,ALERTAS!H:H="ABIERTA"),ROW(A1)),"")</x:f>
      </x:c>
      <x:c r="J16" t="str">
        <x:f>IFERROR(INDEX(FILTER(ALERTAS!F:F,ALERTAS!H:H="ABIERTA"),ROW(A1)),"")</x:f>
      </x:c>
    </x:row>
    <x:row r="17">
      <x:c r="G17" t="str">
        <x:f>IFERROR(INDEX(FILTER(ALERTAS!A:A,ALERTAS!H:H="ABIERTA"),ROW(A1)),"")</x:f>
      </x:c>
      <x:c r="H17" t="str">
        <x:f>IFERROR(INDEX(FILTER(ALERTAS!B:B,ALERTAS!H:H="ABIERTA"),ROW(A1)),"")</x:f>
      </x:c>
      <x:c r="I17" t="str">
        <x:f>IFERROR(INDEX(FILTER(ALERTAS!E:E,ALERTAS!H:H="ABIERTA"),ROW(A1)),"")</x:f>
      </x:c>
      <x:c r="J17" t="str">
        <x:f>IFERROR(INDEX(FILTER(ALERTAS!F:F,ALERTAS!H:H="ABIERTA"),ROW(A1)),"")</x:f>
      </x:c>
    </x:row>
    <x:row r="18">
      <x:c r="A18" s="52" t="str">
        <x:v>Últimos servicios</x:v>
      </x:c>
      <x:c r="B18" s="52" t="str">
        <x:v>Tipo</x:v>
      </x:c>
      <x:c r="C18" s="52" t="str">
        <x:v>Estado</x:v>
      </x:c>
      <x:c r="D18" s="52" t="str">
        <x:v>Cliente</x:v>
      </x:c>
      <x:c r="E18" s="52" t="str">
        <x:v>Ruta/Destino</x:v>
      </x:c>
      <x:c r="F18" s="52" t="str">
        <x:v>Conductor</x:v>
      </x:c>
      <x:c r="G18" t="str">
        <x:f>IFERROR(INDEX(FILTER(ALERTAS!A:A,ALERTAS!H:H="ABIERTA"),ROW(A1)),"")</x:f>
      </x:c>
      <x:c r="H18" t="str">
        <x:f>IFERROR(INDEX(FILTER(ALERTAS!B:B,ALERTAS!H:H="ABIERTA"),ROW(A1)),"")</x:f>
      </x:c>
      <x:c r="I18" t="str">
        <x:f>IFERROR(INDEX(FILTER(ALERTAS!E:E,ALERTAS!H:H="ABIERTA"),ROW(A1)),"")</x:f>
      </x:c>
      <x:c r="J18" t="str">
        <x:f>IFERROR(INDEX(FILTER(ALERTAS!F:F,ALERTAS!H:H="ABIERTA"),ROW(A1)),"")</x:f>
      </x:c>
    </x:row>
    <x:row r="19">
      <x:c r="A19" t="str">
        <x:f>IFERROR(INDEX(SERVICIOS!A:A,COUNTA(SERVICIOS!A:A)-0),"")</x:f>
        <x:v>BM-00002</x:v>
      </x:c>
      <x:c r="B19" t="str">
        <x:f>IFERROR(INDEX(SERVICIOS!E:E,COUNTA(SERVICIOS!A:A)-0),"")</x:f>
      </x:c>
      <x:c r="C19" t="str">
        <x:f>IFERROR(INDEX(SERVICIOS!D:D,COUNTA(SERVICIOS!A:A)-0),"")</x:f>
      </x:c>
      <x:c r="D19" t="str">
        <x:f>IFERROR(INDEX(SERVICIOS!G:G,COUNTA(SERVICIOS!A:A)-0),"")</x:f>
      </x:c>
      <x:c r="E19" t="str">
        <x:f>IFERROR(INDEX(SERVICIOS!K:K,COUNTA(SERVICIOS!A:A)-0),"")</x:f>
      </x:c>
      <x:c r="F19" t="str">
        <x:f>IFERROR(INDEX(SERVICIOS!O:O,COUNTA(SERVICIOS!A:A)-0),"")</x:f>
      </x:c>
      <x:c r="G19" t="str">
        <x:f>IFERROR(INDEX(FILTER(ALERTAS!A:A,ALERTAS!H:H="ABIERTA"),ROW(A1)),"")</x:f>
      </x:c>
      <x:c r="H19" t="str">
        <x:f>IFERROR(INDEX(FILTER(ALERTAS!B:B,ALERTAS!H:H="ABIERTA"),ROW(A1)),"")</x:f>
      </x:c>
      <x:c r="I19" t="str">
        <x:f>IFERROR(INDEX(FILTER(ALERTAS!E:E,ALERTAS!H:H="ABIERTA"),ROW(A1)),"")</x:f>
      </x:c>
      <x:c r="J19" t="str">
        <x:f>IFERROR(INDEX(FILTER(ALERTAS!F:F,ALERTAS!H:H="ABIERTA"),ROW(A1)),"")</x:f>
      </x:c>
    </x:row>
    <x:row r="20">
      <x:c r="A20" t="str">
        <x:f>IFERROR(INDEX(SERVICIOS!A:A,COUNTA(SERVICIOS!A:A)-1),"")</x:f>
        <x:v>BM-00001</x:v>
      </x:c>
      <x:c r="B20" t="str">
        <x:f>IFERROR(INDEX(SERVICIOS!E:E,COUNTA(SERVICIOS!A:A)-1),"")</x:f>
      </x:c>
      <x:c r="C20" t="str">
        <x:f>IFERROR(INDEX(SERVICIOS!D:D,COUNTA(SERVICIOS!A:A)-1),"")</x:f>
      </x:c>
      <x:c r="D20" t="str">
        <x:f>IFERROR(INDEX(SERVICIOS!G:G,COUNTA(SERVICIOS!A:A)-1),"")</x:f>
      </x:c>
      <x:c r="E20" t="str">
        <x:f>IFERROR(INDEX(SERVICIOS!K:K,COUNTA(SERVICIOS!A:A)-1),"")</x:f>
      </x:c>
      <x:c r="F20" t="str">
        <x:f>IFERROR(INDEX(SERVICIOS!O:O,COUNTA(SERVICIOS!A:A)-1),"")</x:f>
      </x:c>
      <x:c r="G20" t="str">
        <x:f>IFERROR(INDEX(FILTER(ALERTAS!A:A,ALERTAS!H:H="ABIERTA"),ROW(A1)),"")</x:f>
      </x:c>
      <x:c r="H20" t="str">
        <x:f>IFERROR(INDEX(FILTER(ALERTAS!B:B,ALERTAS!H:H="ABIERTA"),ROW(A1)),"")</x:f>
      </x:c>
      <x:c r="I20" t="str">
        <x:f>IFERROR(INDEX(FILTER(ALERTAS!E:E,ALERTAS!H:H="ABIERTA"),ROW(A1)),"")</x:f>
      </x:c>
      <x:c r="J20" t="str">
        <x:f>IFERROR(INDEX(FILTER(ALERTAS!F:F,ALERTAS!H:H="ABIERTA"),ROW(A1)),"")</x:f>
      </x:c>
    </x:row>
    <x:row r="21">
      <x:c r="A21" t="str">
        <x:f>IFERROR(INDEX(SERVICIOS!A:A,COUNTA(SERVICIOS!A:A)-2),"")</x:f>
        <x:v>ID_SERVICIO</x:v>
      </x:c>
      <x:c r="B21" t="str">
        <x:f>IFERROR(INDEX(SERVICIOS!E:E,COUNTA(SERVICIOS!A:A)-2),"")</x:f>
        <x:v>COLECTIVO</x:v>
      </x:c>
      <x:c r="C21" t="str">
        <x:f>IFERROR(INDEX(SERVICIOS!D:D,COUNTA(SERVICIOS!A:A)-2),"")</x:f>
        <x:v>FINALIZADO</x:v>
      </x:c>
      <x:c r="D21" t="str">
        <x:f>IFERROR(INDEX(SERVICIOS!G:G,COUNTA(SERVICIOS!A:A)-2),"")</x:f>
        <x:v>Abel Salinas</x:v>
      </x:c>
      <x:c r="E21" t="str">
        <x:f>IFERROR(INDEX(SERVICIOS!K:K,COUNTA(SERVICIOS!A:A)-2),"")</x:f>
        <x:v>Paramonga</x:v>
      </x:c>
      <x:c r="F21" t="str">
        <x:f>IFERROR(INDEX(SERVICIOS!O:O,COUNTA(SERVICIOS!A:A)-2),"")</x:f>
        <x:v>Christian Chinchay</x:v>
      </x:c>
    </x:row>
    <x:row r="22">
      <x:c r="A22" t="str">
        <x:f>IFERROR(INDEX(SERVICIOS!A:A,COUNTA(SERVICIOS!A:A)-3),"")</x:f>
      </x:c>
      <x:c r="B22" t="str">
        <x:f>IFERROR(INDEX(SERVICIOS!E:E,COUNTA(SERVICIOS!A:A)-3),"")</x:f>
        <x:v>TURISMO</x:v>
      </x:c>
      <x:c r="C22" t="str">
        <x:f>IFERROR(INDEX(SERVICIOS!D:D,COUNTA(SERVICIOS!A:A)-3),"")</x:f>
        <x:v>ASIGNADO</x:v>
      </x:c>
      <x:c r="D22" t="str">
        <x:f>IFERROR(INDEX(SERVICIOS!G:G,COUNTA(SERVICIOS!A:A)-3),"")</x:f>
        <x:v>Elizabeth Ramos</x:v>
      </x:c>
      <x:c r="E22" t="str">
        <x:f>IFERROR(INDEX(SERVICIOS!K:K,COUNTA(SERVICIOS!A:A)-3),"")</x:f>
        <x:v>Caral</x:v>
      </x:c>
      <x:c r="F22" t="str">
        <x:f>IFERROR(INDEX(SERVICIOS!O:O,COUNTA(SERVICIOS!A:A)-3),"")</x:f>
        <x:v>Carlos Álvarez</x:v>
      </x:c>
    </x:row>
    <x:row r="23">
      <x:c r="A23" t="str">
        <x:f>IFERROR(INDEX(SERVICIOS!A:A,COUNTA(SERVICIOS!A:A)-4),"")</x:f>
        <x:v>Registro principal en tiempo real: cada fila representa una solicitud.</x:v>
      </x:c>
      <x:c r="B23" t="str">
        <x:f>IFERROR(INDEX(SERVICIOS!E:E,COUNTA(SERVICIOS!A:A)-4),"")</x:f>
        <x:v>ENCOMIENDA</x:v>
      </x:c>
      <x:c r="C23" t="str">
        <x:f>IFERROR(INDEX(SERVICIOS!D:D,COUNTA(SERVICIOS!A:A)-4),"")</x:f>
        <x:v>PENDIENTE_CONDUCTOR</x:v>
      </x:c>
      <x:c r="D23" t="str">
        <x:f>IFERROR(INDEX(SERVICIOS!G:G,COUNTA(SERVICIOS!A:A)-4),"")</x:f>
        <x:v>Anoar Espinoza</x:v>
      </x:c>
      <x:c r="E23" t="str">
        <x:f>IFERROR(INDEX(SERVICIOS!K:K,COUNTA(SERVICIOS!A:A)-4),"")</x:f>
        <x:v>El Lino, referencia Calle Primavera, Barranca</x:v>
      </x:c>
      <x:c r="F23" t="str">
        <x:f>IFERROR(INDEX(SERVICIOS!O:O,COUNTA(SERVICIOS!A:A)-4),"")</x:f>
      </x:c>
    </x:row>
    <x:row r="24">
      <x:c r="A24" t="str">
        <x:f>IFERROR(INDEX(SERVICIOS!A:A,COUNTA(SERVICIOS!A:A)-5),"")</x:f>
        <x:v>Servicios operativos</x:v>
      </x:c>
      <x:c r="B24" t="str">
        <x:f>IFERROR(INDEX(SERVICIOS!E:E,COUNTA(SERVICIOS!A:A)-5),"")</x:f>
        <x:v>TIPO_SERVICIO</x:v>
      </x:c>
      <x:c r="C24" t="str">
        <x:f>IFERROR(INDEX(SERVICIOS!D:D,COUNTA(SERVICIOS!A:A)-5),"")</x:f>
        <x:v>ESTADO</x:v>
      </x:c>
      <x:c r="D24" t="str">
        <x:f>IFERROR(INDEX(SERVICIOS!G:G,COUNTA(SERVICIOS!A:A)-5),"")</x:f>
        <x:v>CLIENTE</x:v>
      </x:c>
      <x:c r="E24" t="str">
        <x:f>IFERROR(INDEX(SERVICIOS!K:K,COUNTA(SERVICIOS!A:A)-5),"")</x:f>
        <x:v>DESTINO</x:v>
      </x:c>
      <x:c r="F24" t="str">
        <x:f>IFERROR(INDEX(SERVICIOS!O:O,COUNTA(SERVICIOS!A:A)-5),"")</x:f>
        <x:v>CONDUCTOR</x:v>
      </x:c>
    </x:row>
    <x:row r="25">
      <x:c r="A25" t="str">
        <x:f>IFERROR(INDEX(SERVICIOS!A:A,COUNTA(SERVICIOS!A:A)-6),"")</x:f>
        <x:v>Servicios operativos</x:v>
      </x:c>
      <x:c r="B25" t="str">
        <x:f>IFERROR(INDEX(SERVICIOS!E:E,COUNTA(SERVICIOS!A:A)-6),"")</x:f>
        <x:v>TIPO_SERVICIO</x:v>
      </x:c>
      <x:c r="C25" t="str">
        <x:f>IFERROR(INDEX(SERVICIOS!D:D,COUNTA(SERVICIOS!A:A)-6),"")</x:f>
        <x:v>ESTADO</x:v>
      </x:c>
      <x:c r="D25" t="str">
        <x:f>IFERROR(INDEX(SERVICIOS!G:G,COUNTA(SERVICIOS!A:A)-6),"")</x:f>
        <x:v>CLIENTE</x:v>
      </x:c>
      <x:c r="E25" t="str">
        <x:f>IFERROR(INDEX(SERVICIOS!K:K,COUNTA(SERVICIOS!A:A)-6),"")</x:f>
        <x:v>DESTINO</x:v>
      </x:c>
      <x:c r="F25" t="str">
        <x:f>IFERROR(INDEX(SERVICIOS!O:O,COUNTA(SERVICIOS!A:A)-6),"")</x:f>
        <x:v>CONDUCTOR</x:v>
      </x:c>
    </x:row>
    <x:row r="26">
      <x:c r="A26" t="str">
        <x:f>IFERROR(INDEX(SERVICIOS!A:A,COUNTA(SERVICIOS!A:A)-7),"")</x:f>
      </x:c>
      <x:c r="B26" t="str">
        <x:f>IFERROR(INDEX(SERVICIOS!E:E,COUNTA(SERVICIOS!A:A)-7),"")</x:f>
      </x:c>
      <x:c r="C26" t="str">
        <x:f>IFERROR(INDEX(SERVICIOS!D:D,COUNTA(SERVICIOS!A:A)-7),"")</x:f>
      </x:c>
      <x:c r="D26" t="str">
        <x:f>IFERROR(INDEX(SERVICIOS!G:G,COUNTA(SERVICIOS!A:A)-7),"")</x:f>
      </x:c>
      <x:c r="E26" t="str">
        <x:f>IFERROR(INDEX(SERVICIOS!K:K,COUNTA(SERVICIOS!A:A)-7),"")</x:f>
      </x:c>
      <x:c r="F26" t="str">
        <x:f>IFERROR(INDEX(SERVICIOS!O:O,COUNTA(SERVICIOS!A:A)-7),"")</x:f>
      </x:c>
    </x:row>
    <x:row r="27">
      <x:c r="A27" t="str">
        <x:f>IFERROR(INDEX(SERVICIOS!A:A,COUNTA(SERVICIOS!A:A)-8),"")</x:f>
      </x:c>
      <x:c r="B27" t="str">
        <x:f>IFERROR(INDEX(SERVICIOS!E:E,COUNTA(SERVICIOS!A:A)-8),"")</x:f>
      </x:c>
      <x:c r="C27" t="str">
        <x:f>IFERROR(INDEX(SERVICIOS!D:D,COUNTA(SERVICIOS!A:A)-8),"")</x:f>
      </x:c>
      <x:c r="D27" t="str">
        <x:f>IFERROR(INDEX(SERVICIOS!G:G,COUNTA(SERVICIOS!A:A)-8),"")</x:f>
      </x:c>
      <x:c r="E27" t="str">
        <x:f>IFERROR(INDEX(SERVICIOS!K:K,COUNTA(SERVICIOS!A:A)-8),"")</x:f>
      </x:c>
      <x:c r="F27" t="str">
        <x:f>IFERROR(INDEX(SERVICIOS!O:O,COUNTA(SERVICIOS!A:A)-8),"")</x:f>
      </x:c>
    </x:row>
    <x:row r="28">
      <x:c r="A28" t="str">
        <x:f>IFERROR(INDEX(SERVICIOS!A:A,COUNTA(SERVICIOS!A:A)-9),"")</x:f>
      </x:c>
      <x:c r="B28" t="str">
        <x:f>IFERROR(INDEX(SERVICIOS!E:E,COUNTA(SERVICIOS!A:A)-9),"")</x:f>
      </x:c>
      <x:c r="C28" t="str">
        <x:f>IFERROR(INDEX(SERVICIOS!D:D,COUNTA(SERVICIOS!A:A)-9),"")</x:f>
      </x:c>
      <x:c r="D28" t="str">
        <x:f>IFERROR(INDEX(SERVICIOS!G:G,COUNTA(SERVICIOS!A:A)-9),"")</x:f>
      </x:c>
      <x:c r="E28" t="str">
        <x:f>IFERROR(INDEX(SERVICIOS!K:K,COUNTA(SERVICIOS!A:A)-9),"")</x:f>
      </x:c>
      <x:c r="F28" t="str">
        <x:f>IFERROR(INDEX(SERVICIOS!O:O,COUNTA(SERVICIOS!A:A)-9),"")</x:f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dcc9e894d0794578"/>
</x:worksheet>
</file>

<file path=xl/worksheets/sheet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60" hidden="0" customWidth="1"/>
  </x:cols>
  <x:sheetData>
    <x:row r="1" ht="30" customHeight="1">
      <x:c r="A1" s="5" t="str">
        <x:v>Configuración técnica</x:v>
      </x:c>
    </x:row>
    <x:row r="2" ht="22" customHeight="1">
      <x:c r="A2" s="13" t="str">
        <x:v>Datos de conexión y control operativo.</x:v>
      </x:c>
    </x:row>
    <x:row r="4">
      <x:c r="A4" s="21" t="str">
        <x:v>CLAVE</x:v>
      </x:c>
      <x:c r="B4" s="21" t="str">
        <x:v>VALOR</x:v>
      </x:c>
      <x:c r="C4" s="21" t="str">
        <x:v>DESCRIPCION</x:v>
      </x:c>
    </x:row>
    <x:row r="5">
      <x:c r="A5" t="str">
        <x:v>SHEETS_WEBHOOK_URL</x:v>
      </x:c>
      <x:c r="B5" t="str"/>
      <x:c r="C5" t="str">
        <x:v>URL del Apps Script desplegado como Web App</x:v>
      </x:c>
    </x:row>
    <x:row r="6">
      <x:c r="A6" t="str">
        <x:v>HORARIO_INICIO</x:v>
      </x:c>
      <x:c r="B6" t="str">
        <x:v>06:00</x:v>
      </x:c>
      <x:c r="C6" t="str">
        <x:v>Hora sugerida de atención</x:v>
      </x:c>
    </x:row>
    <x:row r="7">
      <x:c r="A7" t="str">
        <x:v>HORARIO_FIN</x:v>
      </x:c>
      <x:c r="B7" t="str">
        <x:v>23:00</x:v>
      </x:c>
      <x:c r="C7" t="str">
        <x:v>Después de esta hora registrar FUERA_DE_HORARIO</x:v>
      </x:c>
    </x:row>
    <x:row r="8">
      <x:c r="A8" t="str">
        <x:v>TIMEOUT_CONDUCTOR_SEG</x:v>
      </x:c>
      <x:c r="B8" t="str">
        <x:v>180</x:v>
      </x:c>
      <x:c r="C8" t="str">
        <x:v>Tiempo de espera antes de marcar SIN_CONDUCTOR</x:v>
      </x:c>
    </x:row>
    <x:row r="9">
      <x:c r="A9" t="str">
        <x:v>MODO</x:v>
      </x:c>
      <x:c r="B9" t="str">
        <x:v>PRODUCCION</x:v>
      </x:c>
      <x:c r="C9" t="str">
        <x:v>Usar PRODUCCION / PRUEBA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30" customHeight="1">
      <x:c r="A1" s="5" t="str">
        <x:v>Apps Script receptor</x:v>
      </x:c>
    </x:row>
    <x:row r="2" ht="22" customHeight="1">
      <x:c r="A2" s="13" t="str">
        <x:v>Copia este código en Extensiones &gt; Apps Script y despliega como Web App.</x:v>
      </x:c>
    </x:row>
    <x:row r="4">
      <x:c r="A4" s="100" t="str">
        <x:v>/**</x:v>
      </x:c>
    </x:row>
    <x:row r="5">
      <x:c r="A5" s="100" t="str">
        <x:v> * Barranca Móvil - Receptor Google Sheets</x:v>
      </x:c>
    </x:row>
    <x:row r="6">
      <x:c r="A6" s="100" t="str">
        <x:v> * Deploy: Extensiones &gt; Apps Script &gt; Implementar &gt; Nueva implementación &gt; Aplicación web</x:v>
      </x:c>
    </x:row>
    <x:row r="7">
      <x:c r="A7" s="100" t="str">
        <x:v> * Acceso: Cualquiera con el enlace</x:v>
      </x:c>
    </x:row>
    <x:row r="8">
      <x:c r="A8" s="100" t="str">
        <x:v> */</x:v>
      </x:c>
    </x:row>
    <x:row r="9">
      <x:c r="A9" s="100" t="str">
        <x:v>const SHEET_NAMES = {</x:v>
      </x:c>
    </x:row>
    <x:row r="10">
      <x:c r="A10" s="100" t="str">
        <x:v>  servicios: 'SERVICIOS',</x:v>
      </x:c>
    </x:row>
    <x:row r="11">
      <x:c r="A11" s="100" t="str">
        <x:v>  identidades: 'IDENTIDADES',</x:v>
      </x:c>
    </x:row>
    <x:row r="12">
      <x:c r="A12" s="100" t="str">
        <x:v>  encomiendas: 'ENCOMIENDAS',</x:v>
      </x:c>
    </x:row>
    <x:row r="13">
      <x:c r="A13" s="100" t="str">
        <x:v>  turismo: 'TURISMO',</x:v>
      </x:c>
    </x:row>
    <x:row r="14">
      <x:c r="A14" s="100" t="str">
        <x:v>  conductores: 'CONDUCTORES',</x:v>
      </x:c>
    </x:row>
    <x:row r="15">
      <x:c r="A15" s="100" t="str">
        <x:v>  alertas: 'ALERTAS'</x:v>
      </x:c>
    </x:row>
    <x:row r="16">
      <x:c r="A16" s="100" t="str">
        <x:v>};</x:v>
      </x:c>
    </x:row>
    <x:row r="17">
      <x:c r="A17" s="100" t="str"/>
    </x:row>
    <x:row r="18">
      <x:c r="A18" s="100" t="str">
        <x:v>function doPost(e) {</x:v>
      </x:c>
    </x:row>
    <x:row r="19">
      <x:c r="A19" s="100" t="str">
        <x:v>  try {</x:v>
      </x:c>
    </x:row>
    <x:row r="20">
      <x:c r="A20" s="100" t="str">
        <x:v>    const payload = JSON.parse(e.postData.contents || '{}');</x:v>
      </x:c>
    </x:row>
    <x:row r="21">
      <x:c r="A21" s="100" t="str">
        <x:v>    const action = payload.action || 'upsert_servicio';</x:v>
      </x:c>
    </x:row>
    <x:row r="22">
      <x:c r="A22" s="100" t="str">
        <x:v>    const ss = SpreadsheetApp.getActiveSpreadsheet();</x:v>
      </x:c>
    </x:row>
    <x:row r="23">
      <x:c r="A23" s="100" t="str"/>
    </x:row>
    <x:row r="24">
      <x:c r="A24" s="100" t="str">
        <x:v>    if (action === 'upsert_servicio') {</x:v>
      </x:c>
    </x:row>
    <x:row r="25">
      <x:c r="A25" s="100" t="str">
        <x:v>      upsertById_(ss.getSheetByName(SHEET_NAMES.servicios), 'ID_SERVICIO', mapServicio_(payload.data || payload));</x:v>
      </x:c>
    </x:row>
    <x:row r="26">
      <x:c r="A26" s="100" t="str">
        <x:v>    } else if (action === 'add_identidad') {</x:v>
      </x:c>
    </x:row>
    <x:row r="27">
      <x:c r="A27" s="100" t="str">
        <x:v>      appendByHeaders_(ss.getSheetByName(SHEET_NAMES.identidades), mapIdentidad_(payload.data || payload));</x:v>
      </x:c>
    </x:row>
    <x:row r="28">
      <x:c r="A28" s="100" t="str">
        <x:v>    } else if (action === 'upsert_encomienda') {</x:v>
      </x:c>
    </x:row>
    <x:row r="29">
      <x:c r="A29" s="100" t="str">
        <x:v>      upsertById_(ss.getSheetByName(SHEET_NAMES.encomiendas), 'ID_SERVICIO', mapEncomienda_(payload.data || payload));</x:v>
      </x:c>
    </x:row>
    <x:row r="30">
      <x:c r="A30" s="100" t="str">
        <x:v>    } else if (action === 'upsert_turismo') {</x:v>
      </x:c>
    </x:row>
    <x:row r="31">
      <x:c r="A31" s="100" t="str">
        <x:v>      upsertById_(ss.getSheetByName(SHEET_NAMES.turismo), 'ID_SERVICIO', mapTurismo_(payload.data || payload));</x:v>
      </x:c>
    </x:row>
    <x:row r="32">
      <x:c r="A32" s="100" t="str">
        <x:v>    } else if (action === 'add_alerta') {</x:v>
      </x:c>
    </x:row>
    <x:row r="33">
      <x:c r="A33" s="100" t="str">
        <x:v>      appendByHeaders_(ss.getSheetByName(SHEET_NAMES.alertas), mapAlerta_(payload.data || payload));</x:v>
      </x:c>
    </x:row>
    <x:row r="34">
      <x:c r="A34" s="100" t="str">
        <x:v>    } else if (action === 'update_conductor') {</x:v>
      </x:c>
    </x:row>
    <x:row r="35">
      <x:c r="A35" s="100" t="str">
        <x:v>      upsertById_(ss.getSheetByName(SHEET_NAMES.conductores), 'TELEFONO', payload.data || payload);</x:v>
      </x:c>
    </x:row>
    <x:row r="36">
      <x:c r="A36" s="100" t="str">
        <x:v>    } else {</x:v>
      </x:c>
    </x:row>
    <x:row r="37">
      <x:c r="A37" s="100" t="str">
        <x:v>      throw new Error('Acción no soportada: ' + action);</x:v>
      </x:c>
    </x:row>
    <x:row r="38">
      <x:c r="A38" s="100" t="str">
        <x:v>    }</x:v>
      </x:c>
    </x:row>
    <x:row r="39">
      <x:c r="A39" s="100" t="str"/>
    </x:row>
    <x:row r="40">
      <x:c r="A40" s="100" t="str">
        <x:v>    return json_({ ok: true, action, timestamp: new Date().toISOString() });</x:v>
      </x:c>
    </x:row>
    <x:row r="41">
      <x:c r="A41" s="100" t="str">
        <x:v>  } catch (err) {</x:v>
      </x:c>
    </x:row>
    <x:row r="42">
      <x:c r="A42" s="100" t="str">
        <x:v>    return json_({ ok: false, error: String(err), timestamp: new Date().toISOString() });</x:v>
      </x:c>
    </x:row>
    <x:row r="43">
      <x:c r="A43" s="100" t="str">
        <x:v>  }</x:v>
      </x:c>
    </x:row>
    <x:row r="44">
      <x:c r="A44" s="100" t="str">
        <x:v>}</x:v>
      </x:c>
    </x:row>
    <x:row r="45">
      <x:c r="A45" s="100" t="str"/>
    </x:row>
    <x:row r="46">
      <x:c r="A46" s="100" t="str">
        <x:v>function json_(obj) {</x:v>
      </x:c>
    </x:row>
    <x:row r="47">
      <x:c r="A47" s="100" t="str">
        <x:v>  return ContentService</x:v>
      </x:c>
    </x:row>
    <x:row r="48">
      <x:c r="A48" s="100" t="str">
        <x:v>    .createTextOutput(JSON.stringify(obj))</x:v>
      </x:c>
    </x:row>
    <x:row r="49">
      <x:c r="A49" s="100" t="str">
        <x:v>    .setMimeType(ContentService.MimeType.JSON);</x:v>
      </x:c>
    </x:row>
    <x:row r="50">
      <x:c r="A50" s="100" t="str">
        <x:v>}</x:v>
      </x:c>
    </x:row>
    <x:row r="51">
      <x:c r="A51" s="100" t="str"/>
    </x:row>
    <x:row r="52">
      <x:c r="A52" s="100" t="str">
        <x:v>function headerMap_(sheet) {</x:v>
      </x:c>
    </x:row>
    <x:row r="53">
      <x:c r="A53" s="100" t="str">
        <x:v>  const headers = sheet.getRange(4, 1, 1, sheet.getLastColumn()).getValues()[0];</x:v>
      </x:c>
    </x:row>
    <x:row r="54">
      <x:c r="A54" s="100" t="str">
        <x:v>  const map = {};</x:v>
      </x:c>
    </x:row>
    <x:row r="55">
      <x:c r="A55" s="100" t="str">
        <x:v>  headers.forEach((h, i) =&gt; map[String(h).trim()] = i + 1);</x:v>
      </x:c>
    </x:row>
    <x:row r="56">
      <x:c r="A56" s="100" t="str">
        <x:v>  return map;</x:v>
      </x:c>
    </x:row>
    <x:row r="57">
      <x:c r="A57" s="100" t="str">
        <x:v>}</x:v>
      </x:c>
    </x:row>
    <x:row r="58">
      <x:c r="A58" s="100" t="str"/>
    </x:row>
    <x:row r="59">
      <x:c r="A59" s="100" t="str">
        <x:v>function appendByHeaders_(sheet, obj) {</x:v>
      </x:c>
    </x:row>
    <x:row r="60">
      <x:c r="A60" s="100" t="str">
        <x:v>  const map = headerMap_(sheet);</x:v>
      </x:c>
    </x:row>
    <x:row r="61">
      <x:c r="A61" s="100" t="str">
        <x:v>  const row = new Array(sheet.getLastColumn()).fill('');</x:v>
      </x:c>
    </x:row>
    <x:row r="62">
      <x:c r="A62" s="100" t="str">
        <x:v>  Object.keys(obj).forEach(k =&gt; {</x:v>
      </x:c>
    </x:row>
    <x:row r="63">
      <x:c r="A63" s="100" t="str">
        <x:v>    if (map[k]) row[map[k] - 1] = obj[k];</x:v>
      </x:c>
    </x:row>
    <x:row r="64">
      <x:c r="A64" s="100" t="str">
        <x:v>  });</x:v>
      </x:c>
    </x:row>
    <x:row r="65">
      <x:c r="A65" s="100" t="str">
        <x:v>  sheet.appendRow(row);</x:v>
      </x:c>
    </x:row>
    <x:row r="66">
      <x:c r="A66" s="100" t="str">
        <x:v>}</x:v>
      </x:c>
    </x:row>
    <x:row r="67">
      <x:c r="A67" s="100" t="str"/>
    </x:row>
    <x:row r="68">
      <x:c r="A68" s="100" t="str">
        <x:v>function upsertById_(sheet, idHeader, obj) {</x:v>
      </x:c>
    </x:row>
    <x:row r="69">
      <x:c r="A69" s="100" t="str">
        <x:v>  const map = headerMap_(sheet);</x:v>
      </x:c>
    </x:row>
    <x:row r="70">
      <x:c r="A70" s="100" t="str">
        <x:v>  const idCol = map[idHeader];</x:v>
      </x:c>
    </x:row>
    <x:row r="71">
      <x:c r="A71" s="100" t="str">
        <x:v>  if (!idCol) throw new Error('No existe columna ID: ' + idHeader);</x:v>
      </x:c>
    </x:row>
    <x:row r="72">
      <x:c r="A72" s="100" t="str"/>
    </x:row>
    <x:row r="73">
      <x:c r="A73" s="100" t="str">
        <x:v>  const id = obj[idHeader];</x:v>
      </x:c>
    </x:row>
    <x:row r="74">
      <x:c r="A74" s="100" t="str">
        <x:v>  if (!id) throw new Error('Falta ' + idHeader);</x:v>
      </x:c>
    </x:row>
    <x:row r="75">
      <x:c r="A75" s="100" t="str"/>
    </x:row>
    <x:row r="76">
      <x:c r="A76" s="100" t="str">
        <x:v>  const last = sheet.getLastRow();</x:v>
      </x:c>
    </x:row>
    <x:row r="77">
      <x:c r="A77" s="100" t="str">
        <x:v>  let rowIndex = -1;</x:v>
      </x:c>
    </x:row>
    <x:row r="78">
      <x:c r="A78" s="100" t="str"/>
    </x:row>
    <x:row r="79">
      <x:c r="A79" s="100" t="str">
        <x:v>  if (last &gt;= 5) {</x:v>
      </x:c>
    </x:row>
    <x:row r="80">
      <x:c r="A80" s="100" t="str">
        <x:v>    const ids = sheet.getRange(5, idCol, last - 4, 1).getValues().flat();</x:v>
      </x:c>
    </x:row>
    <x:row r="81">
      <x:c r="A81" s="100" t="str">
        <x:v>    const pos = ids.findIndex(x =&gt; String(x) === String(id));</x:v>
      </x:c>
    </x:row>
    <x:row r="82">
      <x:c r="A82" s="100" t="str">
        <x:v>    if (pos &gt;= 0) rowIndex = pos + 5;</x:v>
      </x:c>
    </x:row>
    <x:row r="83">
      <x:c r="A83" s="100" t="str">
        <x:v>  }</x:v>
      </x:c>
    </x:row>
    <x:row r="84">
      <x:c r="A84" s="100" t="str"/>
    </x:row>
    <x:row r="85">
      <x:c r="A85" s="100" t="str">
        <x:v>  if (rowIndex &lt; 0) {</x:v>
      </x:c>
    </x:row>
    <x:row r="86">
      <x:c r="A86" s="100" t="str">
        <x:v>    appendByHeaders_(sheet, obj);</x:v>
      </x:c>
    </x:row>
    <x:row r="87">
      <x:c r="A87" s="100" t="str">
        <x:v>  } else {</x:v>
      </x:c>
    </x:row>
    <x:row r="88">
      <x:c r="A88" s="100" t="str">
        <x:v>    Object.keys(obj).forEach(k =&gt; {</x:v>
      </x:c>
    </x:row>
    <x:row r="89">
      <x:c r="A89" s="100" t="str">
        <x:v>      if (map[k]) sheet.getRange(rowIndex, map[k]).setValue(obj[k]);</x:v>
      </x:c>
    </x:row>
    <x:row r="90">
      <x:c r="A90" s="100" t="str">
        <x:v>    });</x:v>
      </x:c>
    </x:row>
    <x:row r="91">
      <x:c r="A91" s="100" t="str">
        <x:v>  }</x:v>
      </x:c>
    </x:row>
    <x:row r="92">
      <x:c r="A92" s="100" t="str">
        <x:v>}</x:v>
      </x:c>
    </x:row>
    <x:row r="93">
      <x:c r="A93" s="100" t="str"/>
    </x:row>
    <x:row r="94">
      <x:c r="A94" s="100" t="str">
        <x:v>function mapServicio_(d) {</x:v>
      </x:c>
    </x:row>
    <x:row r="95">
      <x:c r="A95" s="100" t="str">
        <x:v>  return {</x:v>
      </x:c>
    </x:row>
    <x:row r="96">
      <x:c r="A96" s="100" t="str">
        <x:v>    ID_SERVICIO: d.id_servicio || d.ID_SERVICIO,</x:v>
      </x:c>
    </x:row>
    <x:row r="97">
      <x:c r="A97" s="100" t="str">
        <x:v>    FECHA: d.fecha || new Date(),</x:v>
      </x:c>
    </x:row>
    <x:row r="98">
      <x:c r="A98" s="100" t="str">
        <x:v>    HORA: d.hora || Utilities.formatDate(new Date(), Session.getScriptTimeZone(), 'HH:mm'),</x:v>
      </x:c>
    </x:row>
    <x:row r="99">
      <x:c r="A99" s="100" t="str">
        <x:v>    ESTADO: d.estado || '',</x:v>
      </x:c>
    </x:row>
    <x:row r="100">
      <x:c r="A100" s="100" t="str">
        <x:v>    TIPO_SERVICIO: d.tipo_servicio || d.tipo || '',</x:v>
      </x:c>
    </x:row>
    <x:row r="101">
      <x:c r="A101" s="100" t="str">
        <x:v>    CANAL: d.canal || '',</x:v>
      </x:c>
    </x:row>
    <x:row r="102">
      <x:c r="A102" s="100" t="str">
        <x:v>    CLIENTE: d.cliente || d.nombre || '',</x:v>
      </x:c>
    </x:row>
    <x:row r="103">
      <x:c r="A103" s="100" t="str">
        <x:v>    TELEFONO: d.telefono || '',</x:v>
      </x:c>
    </x:row>
    <x:row r="104">
      <x:c r="A104" s="100" t="str">
        <x:v>    DNI_CLIENTE: d.dni_cliente || '',</x:v>
      </x:c>
    </x:row>
    <x:row r="105">
      <x:c r="A105" s="100" t="str">
        <x:v>    ORIGEN: d.origen || d.recojo || '',</x:v>
      </x:c>
    </x:row>
    <x:row r="106">
      <x:c r="A106" s="100" t="str">
        <x:v>    DESTINO: d.destino || '',</x:v>
      </x:c>
    </x:row>
    <x:row r="107">
      <x:c r="A107" s="100" t="str">
        <x:v>    REFERENCIA_ORIGEN: d.referencia_origen || '',</x:v>
      </x:c>
    </x:row>
    <x:row r="108">
      <x:c r="A108" s="100" t="str">
        <x:v>    REFERENCIA_DESTINO: d.referencia_destino || '',</x:v>
      </x:c>
    </x:row>
    <x:row r="109">
      <x:c r="A109" s="100" t="str">
        <x:v>    RUTA: d.ruta || '',</x:v>
      </x:c>
    </x:row>
    <x:row r="110">
      <x:c r="A110" s="100" t="str">
        <x:v>    CONDUCTOR: d.conductor || '',</x:v>
      </x:c>
    </x:row>
    <x:row r="111">
      <x:c r="A111" s="100" t="str">
        <x:v>    PLACA: d.placa || '',</x:v>
      </x:c>
    </x:row>
    <x:row r="112">
      <x:c r="A112" s="100" t="str">
        <x:v>    TELEFONO_CONDUCTOR: d.telefono_conductor || '',</x:v>
      </x:c>
    </x:row>
    <x:row r="113">
      <x:c r="A113" s="100" t="str">
        <x:v>    PAGO: d.pago || '',</x:v>
      </x:c>
    </x:row>
    <x:row r="114">
      <x:c r="A114" s="100" t="str">
        <x:v>    TARIFA: d.tarifa || '',</x:v>
      </x:c>
    </x:row>
    <x:row r="115">
      <x:c r="A115" s="100" t="str">
        <x:v>    PRIORIDAD: d.prioridad || '',</x:v>
      </x:c>
    </x:row>
    <x:row r="116">
      <x:c r="A116" s="100" t="str">
        <x:v>    ALERTA: d.alerta || '',</x:v>
      </x:c>
    </x:row>
    <x:row r="117">
      <x:c r="A117" s="100" t="str">
        <x:v>    OBSERVACION: d.observacion || '',</x:v>
      </x:c>
    </x:row>
    <x:row r="118">
      <x:c r="A118" s="100" t="str">
        <x:v>    ULTIMA_ACTUALIZACION: new Date(),</x:v>
      </x:c>
    </x:row>
    <x:row r="119">
      <x:c r="A119" s="100" t="str">
        <x:v>    HORA_CONFIRMACION: d.hora_confirmacion || '',</x:v>
      </x:c>
    </x:row>
    <x:row r="120">
      <x:c r="A120" s="100" t="str">
        <x:v>    HORA_ASIGNACION: d.hora_asignacion || '',</x:v>
      </x:c>
    </x:row>
    <x:row r="121">
      <x:c r="A121" s="100" t="str">
        <x:v>    MINUTOS_ESPERA: d.minutos_espera || ''</x:v>
      </x:c>
    </x:row>
    <x:row r="122">
      <x:c r="A122" s="100" t="str">
        <x:v>  };</x:v>
      </x:c>
    </x:row>
    <x:row r="123">
      <x:c r="A123" s="100" t="str">
        <x:v>}</x:v>
      </x:c>
    </x:row>
    <x:row r="124">
      <x:c r="A124" s="100" t="str"/>
    </x:row>
    <x:row r="125">
      <x:c r="A125" s="100" t="str">
        <x:v>function mapIdentidad_(d) {</x:v>
      </x:c>
    </x:row>
    <x:row r="126">
      <x:c r="A126" s="100" t="str">
        <x:v>  return {</x:v>
      </x:c>
    </x:row>
    <x:row r="127">
      <x:c r="A127" s="100" t="str">
        <x:v>    ID_SERVICIO: d.id_servicio || '',</x:v>
      </x:c>
    </x:row>
    <x:row r="128">
      <x:c r="A128" s="100" t="str">
        <x:v>    TIPO_SERVICIO: d.tipo_servicio || '',</x:v>
      </x:c>
    </x:row>
    <x:row r="129">
      <x:c r="A129" s="100" t="str">
        <x:v>    ROL: d.rol || '',</x:v>
      </x:c>
    </x:row>
    <x:row r="130">
      <x:c r="A130" s="100" t="str">
        <x:v>    NOMBRE: d.nombre || '',</x:v>
      </x:c>
    </x:row>
    <x:row r="131">
      <x:c r="A131" s="100" t="str">
        <x:v>    DNI: d.dni || '',</x:v>
      </x:c>
    </x:row>
    <x:row r="132">
      <x:c r="A132" s="100" t="str">
        <x:v>    TELEFONO: d.telefono || '',</x:v>
      </x:c>
    </x:row>
    <x:row r="133">
      <x:c r="A133" s="100" t="str">
        <x:v>    VALIDADO: d.validado || 'PENDIENTE',</x:v>
      </x:c>
    </x:row>
    <x:row r="134">
      <x:c r="A134" s="100" t="str">
        <x:v>    OBSERVACION: d.observacion || '',</x:v>
      </x:c>
    </x:row>
    <x:row r="135">
      <x:c r="A135" s="100" t="str">
        <x:v>    FECHA_REGISTRO: new Date(),</x:v>
      </x:c>
    </x:row>
    <x:row r="136">
      <x:c r="A136" s="100" t="str">
        <x:v>    CANAL_ORIGEN: d.canal || ''</x:v>
      </x:c>
    </x:row>
    <x:row r="137">
      <x:c r="A137" s="100" t="str">
        <x:v>  };</x:v>
      </x:c>
    </x:row>
    <x:row r="138">
      <x:c r="A138" s="100" t="str">
        <x:v>}</x:v>
      </x:c>
    </x:row>
    <x:row r="139">
      <x:c r="A139" s="100" t="str"/>
    </x:row>
    <x:row r="140">
      <x:c r="A140" s="100" t="str">
        <x:v>function mapEncomienda_(d) {</x:v>
      </x:c>
    </x:row>
    <x:row r="141">
      <x:c r="A141" s="100" t="str">
        <x:v>  return {</x:v>
      </x:c>
    </x:row>
    <x:row r="142">
      <x:c r="A142" s="100" t="str">
        <x:v>    ID_SERVICIO: d.id_servicio || '',</x:v>
      </x:c>
    </x:row>
    <x:row r="143">
      <x:c r="A143" s="100" t="str">
        <x:v>    DESCRIPCION: d.descripcion || '',</x:v>
      </x:c>
    </x:row>
    <x:row r="144">
      <x:c r="A144" s="100" t="str">
        <x:v>    CANTIDAD_BULTOS: d.cantidad_bultos || '',</x:v>
      </x:c>
    </x:row>
    <x:row r="145">
      <x:c r="A145" s="100" t="str">
        <x:v>    TIPO_CARGA: d.tipo_carga || '',</x:v>
      </x:c>
    </x:row>
    <x:row r="146">
      <x:c r="A146" s="100" t="str">
        <x:v>    PESO_UNITARIO_KG: d.peso_unitario_kg || '',</x:v>
      </x:c>
    </x:row>
    <x:row r="147">
      <x:c r="A147" s="100" t="str">
        <x:v>    PESO_TOTAL_KG: d.peso_total_kg || '',</x:v>
      </x:c>
    </x:row>
    <x:row r="148">
      <x:c r="A148" s="100" t="str">
        <x:v>    FOTO_RECIBIDA: d.foto_recibida || '',</x:v>
      </x:c>
    </x:row>
    <x:row r="149">
      <x:c r="A149" s="100" t="str">
        <x:v>    RIESGO: d.riesgo || '',</x:v>
      </x:c>
    </x:row>
    <x:row r="150">
      <x:c r="A150" s="100" t="str">
        <x:v>    CUIDADO_ESPECIAL: d.cuidado_especial || '',</x:v>
      </x:c>
    </x:row>
    <x:row r="151">
      <x:c r="A151" s="100" t="str">
        <x:v>    VALIDACION_OPERADOR: d.validacion_operador || '',</x:v>
      </x:c>
    </x:row>
    <x:row r="152">
      <x:c r="A152" s="100" t="str">
        <x:v>    DESTINATARIO: d.destinatario || '',</x:v>
      </x:c>
    </x:row>
    <x:row r="153">
      <x:c r="A153" s="100" t="str">
        <x:v>    DNI_DESTINATARIO: d.dni_destinatario || '',</x:v>
      </x:c>
    </x:row>
    <x:row r="154">
      <x:c r="A154" s="100" t="str">
        <x:v>    OBSERVACION: d.observacion || '',</x:v>
      </x:c>
    </x:row>
    <x:row r="155">
      <x:c r="A155" s="100" t="str">
        <x:v>    ULTIMA_ACTUALIZACION: new Date()</x:v>
      </x:c>
    </x:row>
    <x:row r="156">
      <x:c r="A156" s="100" t="str">
        <x:v>  };</x:v>
      </x:c>
    </x:row>
    <x:row r="157">
      <x:c r="A157" s="100" t="str">
        <x:v>}</x:v>
      </x:c>
    </x:row>
    <x:row r="158">
      <x:c r="A158" s="100" t="str"/>
    </x:row>
    <x:row r="159">
      <x:c r="A159" s="100" t="str">
        <x:v>function mapTurismo_(d) {</x:v>
      </x:c>
    </x:row>
    <x:row r="160">
      <x:c r="A160" s="100" t="str">
        <x:v>  return {</x:v>
      </x:c>
    </x:row>
    <x:row r="161">
      <x:c r="A161" s="100" t="str">
        <x:v>    ID_SERVICIO: d.id_servicio || '',</x:v>
      </x:c>
    </x:row>
    <x:row r="162">
      <x:c r="A162" s="100" t="str">
        <x:v>    DESTINO_TURISTICO: d.destino_turistico || d.destino || '',</x:v>
      </x:c>
    </x:row>
    <x:row r="163">
      <x:c r="A163" s="100" t="str">
        <x:v>    MODALIDAD: d.modalidad || '',</x:v>
      </x:c>
    </x:row>
    <x:row r="164">
      <x:c r="A164" s="100" t="str">
        <x:v>    FECHA_TOUR: d.fecha_tour || d.fecha || '',</x:v>
      </x:c>
    </x:row>
    <x:row r="165">
      <x:c r="A165" s="100" t="str">
        <x:v>    HORA_RECOJO: d.hora_recojo || '',</x:v>
      </x:c>
    </x:row>
    <x:row r="166">
      <x:c r="A166" s="100" t="str">
        <x:v>    CANTIDAD_PERSONAS: d.cantidad_personas || d.personas || '',</x:v>
      </x:c>
    </x:row>
    <x:row r="167">
      <x:c r="A167" s="100" t="str">
        <x:v>    TIPO_GRUPO: d.tipo_grupo || '',</x:v>
      </x:c>
    </x:row>
    <x:row r="168">
      <x:c r="A168" s="100" t="str">
        <x:v>    PASAJEROS_RESUMEN: d.pasajeros_resumen || '',</x:v>
      </x:c>
    </x:row>
    <x:row r="169">
      <x:c r="A169" s="100" t="str">
        <x:v>    DNI_COMPLETO: d.dni_completo || '',</x:v>
      </x:c>
    </x:row>
    <x:row r="170">
      <x:c r="A170" s="100" t="str">
        <x:v>    PRECIO_REFERENCIAL: d.precio_referencial || '',</x:v>
      </x:c>
    </x:row>
    <x:row r="171">
      <x:c r="A171" s="100" t="str">
        <x:v>    NOTA_RUTA: d.nota_ruta || '',</x:v>
      </x:c>
    </x:row>
    <x:row r="172">
      <x:c r="A172" s="100" t="str">
        <x:v>    CONDUCTOR: d.conductor || '',</x:v>
      </x:c>
    </x:row>
    <x:row r="173">
      <x:c r="A173" s="100" t="str">
        <x:v>    PLACA: d.placa || '',</x:v>
      </x:c>
    </x:row>
    <x:row r="174">
      <x:c r="A174" s="100" t="str">
        <x:v>    ESTADO: d.estado || '',</x:v>
      </x:c>
    </x:row>
    <x:row r="175">
      <x:c r="A175" s="100" t="str">
        <x:v>    OBSERVACION: d.observacion || ''</x:v>
      </x:c>
    </x:row>
    <x:row r="176">
      <x:c r="A176" s="100" t="str">
        <x:v>  };</x:v>
      </x:c>
    </x:row>
    <x:row r="177">
      <x:c r="A177" s="100" t="str">
        <x:v>}</x:v>
      </x:c>
    </x:row>
    <x:row r="178">
      <x:c r="A178" s="100" t="str"/>
    </x:row>
    <x:row r="179">
      <x:c r="A179" s="100" t="str">
        <x:v>function mapAlerta_(d) {</x:v>
      </x:c>
    </x:row>
    <x:row r="180">
      <x:c r="A180" s="100" t="str">
        <x:v>  return {</x:v>
      </x:c>
    </x:row>
    <x:row r="181">
      <x:c r="A181" s="100" t="str">
        <x:v>    ID_ALERTA: d.id_alerta || ('AL-' + Date.now()),</x:v>
      </x:c>
    </x:row>
    <x:row r="182">
      <x:c r="A182" s="100" t="str">
        <x:v>    ID_SERVICIO: d.id_servicio || '',</x:v>
      </x:c>
    </x:row>
    <x:row r="183">
      <x:c r="A183" s="100" t="str">
        <x:v>    FECHA_HORA: new Date(),</x:v>
      </x:c>
    </x:row>
    <x:row r="184">
      <x:c r="A184" s="100" t="str">
        <x:v>    TIPO_ALERTA: d.tipo_alerta || '',</x:v>
      </x:c>
    </x:row>
    <x:row r="185">
      <x:c r="A185" s="100" t="str">
        <x:v>    PRIORIDAD: d.prioridad || 'MEDIA',</x:v>
      </x:c>
    </x:row>
    <x:row r="186">
      <x:c r="A186" s="100" t="str">
        <x:v>    DESCRIPCION: d.descripcion || '',</x:v>
      </x:c>
    </x:row>
    <x:row r="187">
      <x:c r="A187" s="100" t="str">
        <x:v>    REQUIERE_ACCION: d.requiere_accion || 'SI',</x:v>
      </x:c>
    </x:row>
    <x:row r="188">
      <x:c r="A188" s="100" t="str">
        <x:v>    ESTADO_ALERTA: d.estado_alerta || 'ABIERTA',</x:v>
      </x:c>
    </x:row>
    <x:row r="189">
      <x:c r="A189" s="100" t="str">
        <x:v>    RESPONSABLE: d.responsable || 'Operador',</x:v>
      </x:c>
    </x:row>
    <x:row r="190">
      <x:c r="A190" s="100" t="str">
        <x:v>    CIERRE: ''</x:v>
      </x:c>
    </x:row>
    <x:row r="191">
      <x:c r="A191" s="100" t="str">
        <x:v>  };</x:v>
      </x:c>
    </x:row>
    <x:row r="192">
      <x:c r="A192" s="100" t="str">
        <x:v>}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</x:cols>
  <x:sheetData>
    <x:row r="1" ht="30" customHeight="1">
      <x:c r="A1" s="5" t="str">
        <x:v>Cómo usar este monitor</x:v>
      </x:c>
    </x:row>
    <x:row r="2" ht="22" customHeight="1">
      <x:c r="A2" s="13" t="str">
        <x:v>Pasos para convertir este archivo en tu tablero operativo en Google Sheets.</x:v>
      </x:c>
    </x:row>
    <x:row r="4">
      <x:c r="A4" s="21" t="str">
        <x:v>PASO</x:v>
      </x:c>
      <x:c r="B4" s="21" t="str">
        <x:v>INSTRUCCIÓN</x:v>
      </x:c>
    </x:row>
    <x:row r="5">
      <x:c r="A5" t="str">
        <x:v>1</x:v>
      </x:c>
      <x:c r="B5" t="str">
        <x:v>Sube este .xlsx a Google Drive y ábrelo con Google Sheets.</x:v>
      </x:c>
    </x:row>
    <x:row r="6">
      <x:c r="A6" t="str">
        <x:v>2</x:v>
      </x:c>
      <x:c r="B6" t="str">
        <x:v>Revisa pestañas: SERVICIOS, IDENTIDADES, ENCOMIENDAS, TURISMO, CONDUCTORES, ALERTAS y DASHBOARD.</x:v>
      </x:c>
    </x:row>
    <x:row r="7">
      <x:c r="A7" t="str">
        <x:v>3</x:v>
      </x:c>
      <x:c r="B7" t="str">
        <x:v>Copia el código de la pestaña APPS_SCRIPT en Extensiones &gt; Apps Script.</x:v>
      </x:c>
    </x:row>
    <x:row r="8">
      <x:c r="A8" t="str">
        <x:v>4</x:v>
      </x:c>
      <x:c r="B8" t="str">
        <x:v>Despliega como Aplicación web con acceso 'Cualquiera con el enlace'.</x:v>
      </x:c>
    </x:row>
    <x:row r="9">
      <x:c r="A9" t="str">
        <x:v>5</x:v>
      </x:c>
      <x:c r="B9" t="str">
        <x:v>Copia la URL del Web App en Render como SHEETS_WEBHOOK_URL.</x:v>
      </x:c>
    </x:row>
    <x:row r="10">
      <x:c r="A10" t="str">
        <x:v>6</x:v>
      </x:c>
      <x:c r="B10" t="str">
        <x:v>Luego conectamos bot.py para enviar eventos: confirmado, asignado, cancelado, observado y finalizado.</x:v>
      </x:c>
    </x:row>
    <x:row r="11">
      <x:c r="A11" t="str">
        <x:v>7</x:v>
      </x:c>
      <x:c r="B11" t="str">
        <x:v>No guardes claves privadas dentro del Google Sheet.</x:v>
      </x:c>
    </x:row>
  </x:sheetData>
  <x:mergeCells>
    <x:mergeCell ref="A1:H1"/>
    <x:mergeCell ref="A2:H2"/>
  </x:mergeCells>
  <x:pageMargins left="0.7" right="0.7" top="0.75" bottom="0.75" header="0.3" footer="0.3"/>
</x:worksheet>
</file>